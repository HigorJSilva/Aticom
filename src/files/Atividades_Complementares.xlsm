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0ce32019b8a4a93/UEG/Coordenação Atividades Complementar/"/>
    </mc:Choice>
  </mc:AlternateContent>
  <xr:revisionPtr revIDLastSave="529" documentId="8_{7D3F9519-F546-49C4-90FE-CA495E1601BF}" xr6:coauthVersionLast="43" xr6:coauthVersionMax="43" xr10:uidLastSave="{761854E1-4234-4E1D-AC74-28BD73BE8CE4}"/>
  <bookViews>
    <workbookView xWindow="-120" yWindow="-120" windowWidth="20730" windowHeight="11160" activeTab="4" xr2:uid="{00000000-000D-0000-FFFF-FFFF00000000}"/>
  </bookViews>
  <sheets>
    <sheet name="Formulário 2019" sheetId="5" r:id="rId1"/>
    <sheet name="Calendário 2019" sheetId="7" r:id="rId2"/>
    <sheet name="Atividades" sheetId="6" state="hidden" r:id="rId3"/>
    <sheet name="Tabela de Atividades" sheetId="3" r:id="rId4"/>
    <sheet name="AJUDA" sheetId="8" r:id="rId5"/>
    <sheet name="Cronograma 2019" sheetId="4" state="hidden" r:id="rId6"/>
  </sheets>
  <externalReferences>
    <externalReference r:id="rId7"/>
  </externalReferences>
  <definedNames>
    <definedName name="_xlnm.Print_Area" localSheetId="5">'Cronograma 2019'!$A$1:$P$26</definedName>
    <definedName name="CalendárioAno2">'Cronograma 2019'!$B$3</definedName>
    <definedName name="CalendárioAno3">'Cronograma 2019'!$B$11</definedName>
    <definedName name="CalendárioAno4">'Cronograma 2019'!$B$94</definedName>
    <definedName name="CalendárioAno5">'Cronograma 2019'!$B$100</definedName>
    <definedName name="CaléndárioMês2">'Cronograma 2019'!$C$3</definedName>
    <definedName name="CaléndárioMês2Opção">MATCH(CaléndárioMês2,Meses,0)</definedName>
    <definedName name="CaléndárioMês3">[1]Calendário!$C$29</definedName>
    <definedName name="CaléndárioMês3Opção">MATCH(CaléndárioMês3,Meses,0)</definedName>
    <definedName name="CaléndárioMês4">[1]Calendário!$C$43</definedName>
    <definedName name="CaléndárioMês4Opção">MATCH(CaléndárioMês4,Meses,0)</definedName>
    <definedName name="CaléndárioMês5">[1]Calendário!$C$57</definedName>
    <definedName name="CaléndárioMês5Opção">MATCH(CaléndárioMês5,Meses,0)</definedName>
    <definedName name="DiaDaSemanaOpção">MATCH(InícioDaSemana,DiasDaSemana,0)+10</definedName>
    <definedName name="Dias">{0,1,2,3,4,5,6}</definedName>
    <definedName name="DiasDaSemana">{"SEGUNDA-FEIRA","TERÇA-FEIRA","QUARTA-FEIRA","QUINTA-FEIRA","SEXTA-FEIRA","SÁBADO","DOMINGO"}</definedName>
    <definedName name="InícioDaSemana">'Cronograma 2019'!#REF!</definedName>
    <definedName name="Meses">{"Janeiro","Fevereiro","Março","Abril","Maio","Junho","Julho","Agosto","Setembro","Outubro","Novembro","Dezembro"}</definedName>
    <definedName name="_xlnm.Print_Titles" localSheetId="0">'Formulário 2019'!$1:$10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7" i="5" l="1"/>
  <c r="L13" i="5" l="1"/>
  <c r="L14" i="5"/>
  <c r="L15" i="5"/>
  <c r="L16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12" i="5"/>
  <c r="D34" i="5" l="1"/>
  <c r="A46" i="5" l="1"/>
  <c r="O4" i="6"/>
  <c r="O3" i="6"/>
  <c r="O2" i="6"/>
  <c r="D36" i="5" s="1"/>
  <c r="E40" i="5"/>
  <c r="L32" i="5"/>
  <c r="C37" i="5" l="1"/>
  <c r="C38" i="5"/>
  <c r="C36" i="5"/>
  <c r="D38" i="5"/>
  <c r="D37" i="5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C35" i="5" l="1"/>
  <c r="D35" i="5"/>
</calcChain>
</file>

<file path=xl/sharedStrings.xml><?xml version="1.0" encoding="utf-8"?>
<sst xmlns="http://schemas.openxmlformats.org/spreadsheetml/2006/main" count="353" uniqueCount="146">
  <si>
    <t>Bacharelado em Sistemas de Informação</t>
  </si>
  <si>
    <t>Formulário de Contabilização de Atividades Complementares</t>
  </si>
  <si>
    <t>Nome do Discente:</t>
  </si>
  <si>
    <t>Matrícula</t>
  </si>
  <si>
    <t>Matriz a qual o(a) discente está associado(a)</t>
  </si>
  <si>
    <t>I</t>
  </si>
  <si>
    <t>Data de Recebimento do formulário na coordenação do curso:  _____/_____/_____</t>
  </si>
  <si>
    <t>II</t>
  </si>
  <si>
    <t>III</t>
  </si>
  <si>
    <t>Descrição da Atividade/Evento</t>
  </si>
  <si>
    <t>Horas do Certificado</t>
  </si>
  <si>
    <t>Horas Consideradas</t>
  </si>
  <si>
    <t>As participações nas atividades acima relacionadas foram comprovadas com os respectivos certificados.</t>
  </si>
  <si>
    <t>A coordenação do curso declara que o aluno concluiu  as horas  de atividades complementares exigidas no curso.</t>
  </si>
  <si>
    <t>Discente</t>
  </si>
  <si>
    <t>1ª via – da Secretária Acadêmica do CCET</t>
  </si>
  <si>
    <t>3º via – do(a) discente</t>
  </si>
  <si>
    <t>DAS ATIVIDADES PERMITIDAS</t>
  </si>
  <si>
    <t xml:space="preserve">2º via – Coord. Adjunto </t>
  </si>
  <si>
    <t xml:space="preserve"> Coord. Adjunto de Atividades Complementares</t>
  </si>
  <si>
    <t>(Apêndice B do Regulamento das Atividades Complementares)</t>
  </si>
  <si>
    <t>Apêndice A RAC</t>
  </si>
  <si>
    <t>MODALIDADE DAS ATIVIDADES COMPLEMENTARES</t>
  </si>
  <si>
    <t>Carga horária mínima</t>
  </si>
  <si>
    <t>(horas)</t>
  </si>
  <si>
    <t>Carga horária máxima</t>
  </si>
  <si>
    <t>MODALIDADE I</t>
  </si>
  <si>
    <t>Atividades de formação social, humana e cultural</t>
  </si>
  <si>
    <t>Participação com aproveitamento em cursos de línguas;</t>
  </si>
  <si>
    <t>Participação como integrante (ex. ator, produtor, organizador etc) em atividades artísticas e culturais;</t>
  </si>
  <si>
    <t>Participação como telespectador em atividades artísticas e culturais;</t>
  </si>
  <si>
    <t>Participação como membro em atividades esportivas;</t>
  </si>
  <si>
    <t>Participação na organização de exposições e eventos artísticos e/ou culturais;</t>
  </si>
  <si>
    <t>Participação como expositor em eventos artísticos e/ou culturais;</t>
  </si>
  <si>
    <t>Participação em cursos extracurriculares;</t>
  </si>
  <si>
    <t>Participação/Exercício de outra atividade aprovada pelo colegiado do curso</t>
  </si>
  <si>
    <t>MODALIDADE II</t>
  </si>
  <si>
    <t>Atividades de cunho comunitário e de interesse coletivo</t>
  </si>
  <si>
    <t>Atuação como instrutor em palestras técnicas, seminários, grupos de estudos, cursos da área específica de formação, desde que não remunerados e de interesse da sociedade;</t>
  </si>
  <si>
    <t>Participação em atividades beneficentes e/ou voluntárias e em campanhas de ação social;</t>
  </si>
  <si>
    <t>Participação, com indicação formal da UEG, em diretórios acadêmicos, centros acadêmicos, entidades de classe, conselhos, comissões e colegiados internos;</t>
  </si>
  <si>
    <t>Participação em projetos de extensão vinculados à Pró-Reitoria de Extensão, Cultura e Assuntos Estudantis da UEG;</t>
  </si>
  <si>
    <t>Participação em eventos ou trabalhos convocados pela Justiça;</t>
  </si>
  <si>
    <t>Doação de sangue;</t>
  </si>
  <si>
    <t>MODALIDADE III</t>
  </si>
  <si>
    <t>Atividades de ensino, de formação profissional, pesquisa, iniciação científica e tecnológica</t>
  </si>
  <si>
    <t>Realização de estágio supervisionado não obrigatório na área do curso;</t>
  </si>
  <si>
    <t>Participação com aproveitamento em outros cursos e minicursos científicos ou de gestão na área de formação;</t>
  </si>
  <si>
    <t>Participação em cursos extracurriculares na área do curso ou áreas correlatas;</t>
  </si>
  <si>
    <t>Participação como apresentador de trabalhos em palestras, congressos e seminários técnico-científicos;</t>
  </si>
  <si>
    <t>Participação em atividades técnico-científicas, desde que não sejam contadas como carga horária das disciplinas ou outro componente da matriz curricular do curso;</t>
  </si>
  <si>
    <t>Participação como ouvinte em bancas de dissertação, tese;</t>
  </si>
  <si>
    <t>Participação em centros de estudos, ensino e pesquisa;</t>
  </si>
  <si>
    <t>Participação em atividades de empresa júnior;</t>
  </si>
  <si>
    <t>Participação em exposições técnico-científicas;</t>
  </si>
  <si>
    <t>Participação em atividades de incubadora tecnológica ou de empresas;</t>
  </si>
  <si>
    <t>Participação em atividades de laboratórios;</t>
  </si>
  <si>
    <t>Participação em atividades de monitoria;</t>
  </si>
  <si>
    <t>Participação em palestras, congressos, seminários técnico-científicos, semanas comemorativas e/ou oficinas;</t>
  </si>
  <si>
    <t>Participação em projetos de pesquisa, de iniciação científica e tecnológica relacionados com os objetivos do curso;</t>
  </si>
  <si>
    <t>Participação na organização de exposições e seminários de caráter acadêmico-científico;</t>
  </si>
  <si>
    <t>Organização de livro e revista ou de periódicos científicos de abrangência local, regional, nacional ou internacional;</t>
  </si>
  <si>
    <t>Publicação em revista, livro, capítulo de livro, em anais de eventos técnico-científicos ou em periódicos científicos de abrangência local, regional, nacional ou internacional;</t>
  </si>
  <si>
    <t>Apêndice A: Tabela de Atividades Complementares com as modalidades e atividades:</t>
  </si>
  <si>
    <t>outubro</t>
  </si>
  <si>
    <t>novembro</t>
  </si>
  <si>
    <t>SEG</t>
  </si>
  <si>
    <t>TER</t>
  </si>
  <si>
    <t>QUA</t>
  </si>
  <si>
    <t>QUI</t>
  </si>
  <si>
    <t>SEX</t>
  </si>
  <si>
    <t>SAB</t>
  </si>
  <si>
    <t>DOM</t>
  </si>
  <si>
    <t>24 e 25 recesso</t>
  </si>
  <si>
    <t>15 a 18 feriado e recesso</t>
  </si>
  <si>
    <t>Disponibilidade da coordenação de atividades complementares para atendimento* ao aluno</t>
  </si>
  <si>
    <t>** entrega na coordenação de curso conforme consta no RAC.</t>
  </si>
  <si>
    <t>* atendimento na sala ?? Das 15:00 às 17:00h</t>
  </si>
  <si>
    <t>15 - entrega do relatório final dos alunos pela coordenação de atividades complementares para a secretaria acadêmica</t>
  </si>
  <si>
    <t>12 - devolutiva dos recursos apresentados</t>
  </si>
  <si>
    <t>03 a 05 - prazo para recursos de rejeição de documentação e enquadramento de atividades que não consta no RAC.</t>
  </si>
  <si>
    <t>30 - finalização do prazo para entrega da documentação comprobatória das atividades complementares por parte dos alunos</t>
  </si>
  <si>
    <t>Obs: Durante todo o período de entrega a coordenação irá conferir os documentos já entregues e disponibilizará o resultado da análise em seguida, conforme a demanda.</t>
  </si>
  <si>
    <t>Profa. Ma. Hellen Carmo de Oliveira Matos</t>
  </si>
  <si>
    <t>Modalidade</t>
  </si>
  <si>
    <t>MODALIDADES</t>
  </si>
  <si>
    <t xml:space="preserve"> </t>
  </si>
  <si>
    <t>ANO MATRIZ</t>
  </si>
  <si>
    <t>HORAS</t>
  </si>
  <si>
    <t>TIPO REALIZADO</t>
  </si>
  <si>
    <t>P</t>
  </si>
  <si>
    <t>D</t>
  </si>
  <si>
    <t>Modalidade 1 (%)</t>
  </si>
  <si>
    <t>Modalidade 2 (%)</t>
  </si>
  <si>
    <t>Modalidade 3 (%)</t>
  </si>
  <si>
    <t>Total</t>
  </si>
  <si>
    <t>Horas Necessárias</t>
  </si>
  <si>
    <t>Horas</t>
  </si>
  <si>
    <t>Horas Realizadas</t>
  </si>
  <si>
    <t>% Mínimo</t>
  </si>
  <si>
    <t>% Máximo</t>
  </si>
  <si>
    <t>%</t>
  </si>
  <si>
    <t>-</t>
  </si>
  <si>
    <t>Modalidade 1</t>
  </si>
  <si>
    <t>Modalidade 2</t>
  </si>
  <si>
    <t>Modalidade 3</t>
  </si>
  <si>
    <t>Atividade de referência</t>
  </si>
  <si>
    <t>Presencial-P
Distância-D</t>
  </si>
  <si>
    <t>% realizado de horas à distância</t>
  </si>
  <si>
    <t>Participação em cursos extracurriculares não corretos ao curso;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</si>
  <si>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</si>
  <si>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</si>
  <si>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</si>
  <si>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</si>
  <si>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</si>
  <si>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</si>
  <si>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</si>
  <si>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</si>
  <si>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dezembro</t>
  </si>
  <si>
    <t>05 - Aprovação do RAC 2019</t>
  </si>
  <si>
    <t>CALENDÁRIO ATIVIDADES COMPLEMENTARES 2019</t>
  </si>
  <si>
    <t>18 - Início das aulas</t>
  </si>
  <si>
    <t>FEVEREIRO</t>
  </si>
  <si>
    <t>S</t>
  </si>
  <si>
    <t>T</t>
  </si>
  <si>
    <t>Q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</si>
  <si>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</si>
  <si>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</si>
  <si>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</si>
  <si>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</si>
  <si>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</si>
  <si>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</si>
  <si>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</si>
  <si>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</si>
  <si>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</si>
  <si>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</si>
  <si>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 Início das aulas</t>
  </si>
  <si>
    <t>Atendimento ao aluno sala 6</t>
  </si>
  <si>
    <t>Feriados, Recessos e Férias</t>
  </si>
  <si>
    <t>12 -  Início do prazo para entrega** da documentação comprobatória das atividades complementares por parte dos alunos</t>
  </si>
  <si>
    <t>21 - Finalização das entregas das documentações de Atividades Complementares para o 1º Semestre</t>
  </si>
  <si>
    <t>28 - Devolutivas das documentações entregues no 1º Semestre</t>
  </si>
  <si>
    <t>OBSERVAÇÕES PARA PREENCHIMENTO DA PLANILHA</t>
  </si>
  <si>
    <t>Não é necessário atualizar a planilha ao iniciá-la como é solicitado pelo excel.</t>
  </si>
  <si>
    <t>Qualquer dúvida ou erro de preenchimento da planilha contactar a coordenação pedagógica.</t>
  </si>
  <si>
    <r>
      <t xml:space="preserve">Para se inserir uma linha a mais na tabela, basta </t>
    </r>
    <r>
      <rPr>
        <b/>
        <sz val="12"/>
        <color theme="1"/>
        <rFont val="Arial"/>
        <family val="2"/>
      </rPr>
      <t>copiar</t>
    </r>
    <r>
      <rPr>
        <sz val="12"/>
        <color theme="1"/>
        <rFont val="Arial"/>
        <family val="2"/>
      </rPr>
      <t xml:space="preserve"> uma linha completa do intervalo de linhas: 12 a 30, e </t>
    </r>
    <r>
      <rPr>
        <b/>
        <sz val="12"/>
        <color theme="1"/>
        <rFont val="Arial"/>
        <family val="2"/>
      </rPr>
      <t>colar</t>
    </r>
    <r>
      <rPr>
        <sz val="12"/>
        <color theme="1"/>
        <rFont val="Arial"/>
        <family val="2"/>
      </rPr>
      <t xml:space="preserve"> neste mesmo intervalo. Assim, a nova linha permanecerá com as mesmas configurações da tabela.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</si>
</sst>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"/>
  </numFmts>
  <fonts count="59">
    <font>
      <sz val="11"/>
      <color theme="1"/>
      <name val="Calibri"/>
      <family val="2"/>
      <scheme val="minor"/>
    </font>
    <font>
      <sz val="14"/>
      <color rgb="FF000000"/>
      <name val="Calibri"/>
    </font>
    <font>
      <b/>
      <sz val="14"/>
      <color rgb="FF000000"/>
      <name val="Calibri"/>
      <family val="2"/>
    </font>
    <font>
      <sz val="12"/>
      <color rgb="FF000000"/>
      <name val="Calibri"/>
    </font>
    <font>
      <sz val="11"/>
      <color rgb="FF000000"/>
      <name val="Calibri"/>
      <family val="2"/>
    </font>
    <font>
      <sz val="11"/>
      <name val="Calibri"/>
    </font>
    <font>
      <sz val="10"/>
      <color rgb="FF000000"/>
      <name val="Arial Narrow"/>
    </font>
    <font>
      <sz val="8"/>
      <color rgb="FF000000"/>
      <name val="Arial"/>
      <family val="2"/>
    </font>
    <font>
      <sz val="10"/>
      <color rgb="FF000000"/>
      <name val="Arial Narrow"/>
      <family val="2"/>
    </font>
    <font>
      <b/>
      <sz val="14"/>
      <color rgb="FF000000"/>
      <name val="Arial"/>
    </font>
    <font>
      <b/>
      <sz val="11"/>
      <color rgb="FF000000"/>
      <name val="Arial"/>
    </font>
    <font>
      <sz val="10"/>
      <color rgb="FF000000"/>
      <name val="Arial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mbria"/>
      <family val="2"/>
      <scheme val="major"/>
    </font>
    <font>
      <sz val="1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sz val="8"/>
      <color theme="3"/>
      <name val="Cambria"/>
      <family val="2"/>
      <scheme val="major"/>
    </font>
    <font>
      <b/>
      <u/>
      <sz val="11"/>
      <color theme="3"/>
      <name val="Calibri"/>
      <family val="2"/>
      <scheme val="minor"/>
    </font>
    <font>
      <sz val="8"/>
      <color theme="1"/>
      <name val="Arial"/>
      <family val="2"/>
    </font>
    <font>
      <b/>
      <sz val="8"/>
      <color theme="5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4" tint="-0.499984740745262"/>
      <name val="Cambria"/>
      <family val="2"/>
      <scheme val="major"/>
    </font>
    <font>
      <sz val="10"/>
      <name val="Calibri"/>
      <family val="2"/>
      <scheme val="minor"/>
    </font>
    <font>
      <b/>
      <sz val="10"/>
      <color indexed="9"/>
      <name val="Cambria"/>
      <family val="2"/>
      <scheme val="maj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1"/>
      <name val="Calibri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indexed="9"/>
        <bgColor indexed="64"/>
      </patternFill>
    </fill>
    <fill>
      <patternFill patternType="lightUp"/>
    </fill>
    <fill>
      <patternFill patternType="solid">
        <fgColor theme="2" tint="-0.249977111117893"/>
        <bgColor indexed="64"/>
      </patternFill>
    </fill>
    <fill>
      <patternFill patternType="lightUp">
        <bgColor theme="5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11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9"/>
        <bgColor indexed="22"/>
      </patternFill>
    </fill>
    <fill>
      <patternFill patternType="solid">
        <fgColor rgb="FF7030A0"/>
        <bgColor indexed="64"/>
      </patternFill>
    </fill>
    <fill>
      <patternFill patternType="lightUp">
        <fgColor indexed="9"/>
        <bgColor indexed="9"/>
      </patternFill>
    </fill>
    <fill>
      <patternFill patternType="lightUp">
        <bgColor indexed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hair">
        <color theme="7" tint="-0.24994659260841701"/>
      </left>
      <right style="hair">
        <color theme="7" tint="-0.24994659260841701"/>
      </right>
      <top style="hair">
        <color theme="7" tint="-0.24994659260841701"/>
      </top>
      <bottom style="hair">
        <color theme="7" tint="-0.24994659260841701"/>
      </bottom>
      <diagonal/>
    </border>
    <border>
      <left/>
      <right/>
      <top/>
      <bottom style="thin">
        <color theme="0"/>
      </bottom>
      <diagonal/>
    </border>
    <border>
      <left/>
      <right/>
      <top style="slantDashDot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3">
    <xf numFmtId="0" fontId="0" fillId="0" borderId="0"/>
    <xf numFmtId="0" fontId="17" fillId="0" borderId="0" applyNumberFormat="0" applyFill="0" applyBorder="0" applyAlignment="0" applyProtection="0"/>
    <xf numFmtId="0" fontId="18" fillId="0" borderId="14" applyNumberFormat="0" applyFill="0" applyAlignment="0" applyProtection="0"/>
    <xf numFmtId="0" fontId="19" fillId="0" borderId="15" applyNumberFormat="0" applyFill="0" applyAlignment="0" applyProtection="0"/>
    <xf numFmtId="0" fontId="20" fillId="0" borderId="16" applyNumberFormat="0" applyFill="0" applyAlignment="0" applyProtection="0"/>
    <xf numFmtId="164" fontId="21" fillId="0" borderId="17" applyFill="0" applyProtection="0">
      <alignment horizontal="left" vertical="center" wrapText="1" indent="1"/>
    </xf>
    <xf numFmtId="164" fontId="22" fillId="0" borderId="18" applyFill="0" applyProtection="0">
      <alignment horizontal="left" vertical="top" wrapText="1" indent="1"/>
    </xf>
    <xf numFmtId="164" fontId="23" fillId="0" borderId="20" applyNumberFormat="0" applyFill="0" applyProtection="0">
      <alignment horizontal="left" vertical="center" wrapText="1" indent="1"/>
    </xf>
    <xf numFmtId="164" fontId="16" fillId="0" borderId="0" applyNumberFormat="0" applyFill="0" applyProtection="0">
      <alignment horizontal="left" vertical="top" wrapText="1" indent="1"/>
    </xf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</cellStyleXfs>
  <cellXfs count="140">
    <xf numFmtId="0" fontId="0" fillId="0" borderId="0" xfId="0"/>
    <xf numFmtId="0" fontId="4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0" applyFont="1" applyAlignment="1">
      <alignment vertical="center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0" fillId="0" borderId="9" xfId="0" applyBorder="1"/>
    <xf numFmtId="0" fontId="14" fillId="0" borderId="7" xfId="0" applyFont="1" applyBorder="1" applyAlignment="1">
      <alignment horizontal="justify" vertical="center"/>
    </xf>
    <xf numFmtId="0" fontId="14" fillId="0" borderId="9" xfId="0" applyFont="1" applyBorder="1" applyAlignment="1">
      <alignment vertical="center"/>
    </xf>
    <xf numFmtId="0" fontId="14" fillId="0" borderId="9" xfId="0" applyFont="1" applyBorder="1" applyAlignment="1">
      <alignment horizontal="right" vertical="center"/>
    </xf>
    <xf numFmtId="0" fontId="14" fillId="0" borderId="7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0" fillId="5" borderId="0" xfId="0" applyFill="1"/>
    <xf numFmtId="0" fontId="22" fillId="0" borderId="18" xfId="6" applyNumberFormat="1">
      <alignment horizontal="left" vertical="top" wrapText="1" indent="1"/>
    </xf>
    <xf numFmtId="0" fontId="26" fillId="5" borderId="0" xfId="0" applyFont="1" applyFill="1"/>
    <xf numFmtId="0" fontId="27" fillId="0" borderId="0" xfId="2" applyFont="1" applyBorder="1" applyAlignment="1">
      <alignment horizontal="left" indent="3"/>
    </xf>
    <xf numFmtId="164" fontId="24" fillId="0" borderId="21" xfId="5" applyFont="1" applyBorder="1">
      <alignment horizontal="left" vertical="center" wrapText="1" indent="1"/>
    </xf>
    <xf numFmtId="164" fontId="28" fillId="0" borderId="21" xfId="5" applyFont="1" applyBorder="1">
      <alignment horizontal="left" vertical="center" wrapText="1" indent="1"/>
    </xf>
    <xf numFmtId="164" fontId="24" fillId="0" borderId="22" xfId="5" applyFont="1" applyBorder="1">
      <alignment horizontal="left" vertical="center" wrapText="1" indent="1"/>
    </xf>
    <xf numFmtId="0" fontId="25" fillId="7" borderId="21" xfId="3" applyFont="1" applyFill="1" applyBorder="1" applyAlignment="1">
      <alignment vertical="center"/>
    </xf>
    <xf numFmtId="0" fontId="25" fillId="7" borderId="21" xfId="4" applyFont="1" applyFill="1" applyBorder="1" applyAlignment="1">
      <alignment vertical="center"/>
    </xf>
    <xf numFmtId="164" fontId="24" fillId="0" borderId="23" xfId="5" applyFont="1" applyBorder="1">
      <alignment horizontal="left" vertical="center" wrapText="1" indent="1"/>
    </xf>
    <xf numFmtId="164" fontId="24" fillId="6" borderId="21" xfId="5" applyFont="1" applyFill="1" applyBorder="1">
      <alignment horizontal="left" vertical="center" wrapText="1" indent="1"/>
    </xf>
    <xf numFmtId="164" fontId="29" fillId="6" borderId="21" xfId="5" applyFont="1" applyFill="1" applyBorder="1">
      <alignment horizontal="left" vertical="center" wrapText="1" indent="1"/>
    </xf>
    <xf numFmtId="164" fontId="29" fillId="0" borderId="21" xfId="5" applyFont="1" applyBorder="1">
      <alignment horizontal="left" vertical="center" wrapText="1" indent="1"/>
    </xf>
    <xf numFmtId="164" fontId="30" fillId="8" borderId="21" xfId="5" applyFont="1" applyFill="1" applyBorder="1">
      <alignment horizontal="left" vertical="center" wrapText="1" indent="1"/>
    </xf>
    <xf numFmtId="164" fontId="30" fillId="9" borderId="21" xfId="5" applyFont="1" applyFill="1" applyBorder="1">
      <alignment horizontal="left" vertical="center" wrapText="1" indent="1"/>
    </xf>
    <xf numFmtId="0" fontId="31" fillId="0" borderId="0" xfId="1" applyFont="1" applyAlignment="1">
      <alignment horizontal="center"/>
    </xf>
    <xf numFmtId="0" fontId="32" fillId="0" borderId="0" xfId="0" applyFont="1"/>
    <xf numFmtId="0" fontId="33" fillId="6" borderId="0" xfId="0" applyFont="1" applyFill="1"/>
    <xf numFmtId="0" fontId="33" fillId="0" borderId="0" xfId="0" applyFont="1"/>
    <xf numFmtId="0" fontId="35" fillId="0" borderId="0" xfId="0" applyFont="1"/>
    <xf numFmtId="0" fontId="36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39" fillId="0" borderId="0" xfId="0" applyFont="1"/>
    <xf numFmtId="0" fontId="0" fillId="0" borderId="0" xfId="0" applyAlignment="1">
      <alignment vertical="center"/>
    </xf>
    <xf numFmtId="9" fontId="41" fillId="0" borderId="21" xfId="0" applyNumberFormat="1" applyFont="1" applyBorder="1" applyAlignment="1">
      <alignment horizontal="center" vertical="center"/>
    </xf>
    <xf numFmtId="1" fontId="41" fillId="0" borderId="21" xfId="9" applyNumberFormat="1" applyFont="1" applyBorder="1" applyAlignment="1">
      <alignment horizontal="center" vertical="center"/>
    </xf>
    <xf numFmtId="9" fontId="39" fillId="0" borderId="21" xfId="0" applyNumberFormat="1" applyFont="1" applyBorder="1" applyAlignment="1">
      <alignment horizontal="center" vertical="center"/>
    </xf>
    <xf numFmtId="1" fontId="39" fillId="0" borderId="21" xfId="9" applyNumberFormat="1" applyFont="1" applyBorder="1" applyAlignment="1">
      <alignment horizontal="center" vertical="center"/>
    </xf>
    <xf numFmtId="0" fontId="0" fillId="0" borderId="27" xfId="0" applyBorder="1"/>
    <xf numFmtId="0" fontId="0" fillId="0" borderId="5" xfId="0" applyBorder="1"/>
    <xf numFmtId="0" fontId="5" fillId="0" borderId="4" xfId="0" applyFont="1" applyBorder="1" applyProtection="1">
      <protection locked="0"/>
    </xf>
    <xf numFmtId="9" fontId="0" fillId="0" borderId="21" xfId="0" applyNumberForma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42" fillId="0" borderId="21" xfId="0" applyFont="1" applyBorder="1" applyAlignment="1">
      <alignment horizontal="center" vertical="center" wrapText="1"/>
    </xf>
    <xf numFmtId="0" fontId="44" fillId="2" borderId="21" xfId="0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9" fontId="0" fillId="0" borderId="0" xfId="0" applyNumberFormat="1"/>
    <xf numFmtId="0" fontId="0" fillId="0" borderId="0" xfId="0" applyAlignment="1">
      <alignment horizontal="left" vertical="center"/>
    </xf>
    <xf numFmtId="9" fontId="0" fillId="0" borderId="0" xfId="0" applyNumberFormat="1" applyAlignment="1">
      <alignment horizontal="center" vertical="center"/>
    </xf>
    <xf numFmtId="1" fontId="39" fillId="0" borderId="0" xfId="9" applyNumberFormat="1" applyFont="1" applyAlignment="1">
      <alignment horizontal="center" vertical="center"/>
    </xf>
    <xf numFmtId="9" fontId="0" fillId="0" borderId="21" xfId="10" applyFont="1" applyBorder="1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14" fillId="0" borderId="25" xfId="0" applyFont="1" applyBorder="1" applyAlignment="1">
      <alignment horizontal="justify" vertical="center" wrapText="1"/>
    </xf>
    <xf numFmtId="0" fontId="14" fillId="0" borderId="25" xfId="0" applyFont="1" applyBorder="1" applyAlignment="1">
      <alignment vertical="center" wrapText="1"/>
    </xf>
    <xf numFmtId="0" fontId="14" fillId="0" borderId="26" xfId="0" applyFont="1" applyBorder="1" applyAlignment="1">
      <alignment horizontal="justify" vertical="center" wrapText="1"/>
    </xf>
    <xf numFmtId="0" fontId="40" fillId="0" borderId="21" xfId="0" applyFont="1" applyBorder="1" applyProtection="1">
      <protection locked="0"/>
    </xf>
    <xf numFmtId="0" fontId="40" fillId="0" borderId="21" xfId="0" applyFont="1" applyBorder="1" applyAlignment="1" applyProtection="1">
      <alignment vertical="top" wrapText="1"/>
      <protection locked="0"/>
    </xf>
    <xf numFmtId="164" fontId="24" fillId="0" borderId="0" xfId="5" applyFont="1" applyBorder="1">
      <alignment horizontal="left" vertical="center" wrapText="1" indent="1"/>
    </xf>
    <xf numFmtId="164" fontId="24" fillId="0" borderId="0" xfId="7" applyFont="1" applyBorder="1">
      <alignment horizontal="left" vertical="center" wrapText="1" indent="1"/>
    </xf>
    <xf numFmtId="164" fontId="45" fillId="10" borderId="21" xfId="5" applyFont="1" applyFill="1" applyBorder="1">
      <alignment horizontal="left" vertical="center" wrapText="1" indent="1"/>
    </xf>
    <xf numFmtId="164" fontId="46" fillId="11" borderId="21" xfId="5" applyFont="1" applyFill="1" applyBorder="1">
      <alignment horizontal="left" vertical="center" wrapText="1" indent="1"/>
    </xf>
    <xf numFmtId="164" fontId="30" fillId="12" borderId="0" xfId="5" applyFont="1" applyFill="1" applyBorder="1">
      <alignment horizontal="left" vertical="center" wrapText="1" indent="1"/>
    </xf>
    <xf numFmtId="164" fontId="30" fillId="12" borderId="21" xfId="5" applyFont="1" applyFill="1" applyBorder="1">
      <alignment horizontal="left" vertical="center" wrapText="1" indent="1"/>
    </xf>
    <xf numFmtId="0" fontId="48" fillId="5" borderId="0" xfId="0" applyFont="1" applyFill="1" applyAlignment="1">
      <alignment vertical="center"/>
    </xf>
    <xf numFmtId="0" fontId="50" fillId="5" borderId="0" xfId="0" applyFont="1" applyFill="1"/>
    <xf numFmtId="0" fontId="48" fillId="14" borderId="30" xfId="0" applyFont="1" applyFill="1" applyBorder="1" applyAlignment="1">
      <alignment horizontal="center" vertical="center"/>
    </xf>
    <xf numFmtId="0" fontId="48" fillId="2" borderId="30" xfId="0" applyFont="1" applyFill="1" applyBorder="1" applyAlignment="1">
      <alignment horizontal="center" vertical="center" wrapText="1"/>
    </xf>
    <xf numFmtId="0" fontId="48" fillId="5" borderId="30" xfId="0" applyFont="1" applyFill="1" applyBorder="1" applyAlignment="1">
      <alignment horizontal="center" vertical="center" wrapText="1"/>
    </xf>
    <xf numFmtId="0" fontId="48" fillId="5" borderId="30" xfId="0" applyFont="1" applyFill="1" applyBorder="1" applyAlignment="1">
      <alignment horizontal="center" vertical="center"/>
    </xf>
    <xf numFmtId="0" fontId="48" fillId="15" borderId="30" xfId="0" applyFont="1" applyFill="1" applyBorder="1" applyAlignment="1">
      <alignment horizontal="center" vertical="center" wrapText="1"/>
    </xf>
    <xf numFmtId="0" fontId="48" fillId="16" borderId="30" xfId="0" applyFont="1" applyFill="1" applyBorder="1" applyAlignment="1">
      <alignment horizontal="center" vertical="center" wrapText="1"/>
    </xf>
    <xf numFmtId="0" fontId="48" fillId="15" borderId="0" xfId="0" applyFont="1" applyFill="1" applyAlignment="1">
      <alignment horizontal="center" vertical="center" wrapText="1"/>
    </xf>
    <xf numFmtId="0" fontId="48" fillId="5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 wrapText="1"/>
    </xf>
    <xf numFmtId="0" fontId="48" fillId="2" borderId="0" xfId="0" applyFont="1" applyFill="1" applyAlignment="1">
      <alignment horizontal="center" vertical="center" wrapText="1"/>
    </xf>
    <xf numFmtId="0" fontId="50" fillId="2" borderId="0" xfId="0" applyFont="1" applyFill="1" applyAlignment="1">
      <alignment horizontal="center" vertical="center" wrapText="1"/>
    </xf>
    <xf numFmtId="0" fontId="48" fillId="17" borderId="30" xfId="0" applyFont="1" applyFill="1" applyBorder="1" applyAlignment="1">
      <alignment horizontal="center" vertical="center" wrapText="1"/>
    </xf>
    <xf numFmtId="0" fontId="50" fillId="17" borderId="0" xfId="0" applyFont="1" applyFill="1"/>
    <xf numFmtId="0" fontId="48" fillId="18" borderId="30" xfId="0" applyFont="1" applyFill="1" applyBorder="1" applyAlignment="1">
      <alignment horizontal="center" vertical="center" wrapText="1"/>
    </xf>
    <xf numFmtId="0" fontId="48" fillId="19" borderId="30" xfId="0" applyFont="1" applyFill="1" applyBorder="1" applyAlignment="1">
      <alignment horizontal="center" vertical="center" wrapText="1"/>
    </xf>
    <xf numFmtId="0" fontId="48" fillId="20" borderId="30" xfId="0" applyFont="1" applyFill="1" applyBorder="1" applyAlignment="1">
      <alignment horizontal="center" vertical="center" wrapText="1"/>
    </xf>
    <xf numFmtId="0" fontId="52" fillId="10" borderId="30" xfId="0" applyFont="1" applyFill="1" applyBorder="1" applyAlignment="1">
      <alignment horizontal="center" vertical="center" wrapText="1"/>
    </xf>
    <xf numFmtId="0" fontId="47" fillId="5" borderId="0" xfId="0" applyFont="1" applyFill="1"/>
    <xf numFmtId="0" fontId="53" fillId="21" borderId="30" xfId="0" applyFont="1" applyFill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/>
    </xf>
    <xf numFmtId="0" fontId="43" fillId="0" borderId="21" xfId="0" applyFont="1" applyBorder="1" applyAlignment="1">
      <alignment horizontal="center" vertical="center" wrapText="1"/>
    </xf>
    <xf numFmtId="0" fontId="40" fillId="0" borderId="21" xfId="0" applyFont="1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4" fillId="0" borderId="0" xfId="0" applyFont="1" applyAlignment="1">
      <alignment horizontal="center"/>
    </xf>
    <xf numFmtId="0" fontId="44" fillId="2" borderId="21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41" fillId="0" borderId="21" xfId="0" applyFont="1" applyBorder="1" applyAlignment="1">
      <alignment horizontal="left" vertical="center"/>
    </xf>
    <xf numFmtId="0" fontId="39" fillId="0" borderId="21" xfId="0" applyFont="1" applyBorder="1" applyAlignment="1">
      <alignment horizontal="left" vertical="center"/>
    </xf>
    <xf numFmtId="0" fontId="56" fillId="2" borderId="21" xfId="0" applyFont="1" applyFill="1" applyBorder="1" applyAlignment="1" applyProtection="1">
      <alignment horizontal="left" vertical="center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2" fillId="0" borderId="21" xfId="0" applyFont="1" applyBorder="1" applyAlignment="1">
      <alignment horizontal="center" vertical="center"/>
    </xf>
    <xf numFmtId="0" fontId="40" fillId="0" borderId="21" xfId="0" applyFont="1" applyBorder="1" applyAlignment="1" applyProtection="1">
      <alignment vertical="center" wrapText="1"/>
      <protection locked="0"/>
    </xf>
    <xf numFmtId="0" fontId="51" fillId="13" borderId="30" xfId="0" applyFont="1" applyFill="1" applyBorder="1" applyAlignment="1">
      <alignment horizontal="center" vertical="center"/>
    </xf>
    <xf numFmtId="0" fontId="48" fillId="2" borderId="30" xfId="0" applyFont="1" applyFill="1" applyBorder="1" applyAlignment="1">
      <alignment horizontal="center" vertical="center" wrapText="1"/>
    </xf>
    <xf numFmtId="0" fontId="50" fillId="2" borderId="30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 vertical="top" wrapText="1"/>
    </xf>
    <xf numFmtId="0" fontId="49" fillId="5" borderId="0" xfId="0" applyFont="1" applyFill="1" applyAlignment="1">
      <alignment horizontal="center" vertical="center"/>
    </xf>
    <xf numFmtId="0" fontId="49" fillId="5" borderId="29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 wrapText="1"/>
    </xf>
    <xf numFmtId="0" fontId="13" fillId="4" borderId="13" xfId="0" applyFont="1" applyFill="1" applyBorder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 wrapText="1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0" xfId="0" applyFont="1" applyFill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3" borderId="6" xfId="0" applyFont="1" applyFill="1" applyBorder="1" applyAlignment="1">
      <alignment vertical="center" wrapText="1"/>
    </xf>
    <xf numFmtId="0" fontId="12" fillId="3" borderId="7" xfId="0" applyFont="1" applyFill="1" applyBorder="1" applyAlignment="1">
      <alignment vertical="center" wrapText="1"/>
    </xf>
    <xf numFmtId="0" fontId="15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55" fillId="0" borderId="0" xfId="0" applyFont="1" applyAlignment="1">
      <alignment horizontal="center"/>
    </xf>
    <xf numFmtId="0" fontId="35" fillId="0" borderId="0" xfId="0" applyFont="1" applyAlignment="1">
      <alignment horizontal="left" vertical="top" wrapText="1"/>
    </xf>
    <xf numFmtId="0" fontId="34" fillId="0" borderId="0" xfId="0" applyFont="1" applyAlignment="1">
      <alignment horizontal="left" vertical="top" wrapText="1"/>
    </xf>
    <xf numFmtId="0" fontId="16" fillId="0" borderId="0" xfId="8" applyNumberFormat="1">
      <alignment horizontal="left" vertical="top" wrapText="1" indent="1"/>
    </xf>
    <xf numFmtId="164" fontId="24" fillId="0" borderId="19" xfId="7" applyFont="1" applyBorder="1">
      <alignment horizontal="left" vertical="center" wrapText="1" indent="1"/>
    </xf>
    <xf numFmtId="0" fontId="34" fillId="0" borderId="24" xfId="0" applyFont="1" applyBorder="1" applyAlignment="1">
      <alignment horizontal="left" vertical="top" wrapText="1"/>
    </xf>
    <xf numFmtId="0" fontId="36" fillId="0" borderId="0" xfId="0" applyFont="1" applyAlignment="1">
      <alignment horizontal="left" vertical="top" wrapText="1"/>
    </xf>
    <xf numFmtId="0" fontId="0" fillId="0" borderId="31" xfId="0" applyBorder="1"/>
    <xf numFmtId="0" fontId="0" fillId="0" borderId="0" xfId="0" applyBorder="1"/>
    <xf numFmtId="0" fontId="0" fillId="0" borderId="32" xfId="0" applyBorder="1"/>
    <xf numFmtId="0" fontId="57" fillId="22" borderId="33" xfId="11" applyFont="1" applyBorder="1" applyAlignment="1">
      <alignment horizontal="left" vertical="top" wrapText="1"/>
    </xf>
    <xf numFmtId="0" fontId="57" fillId="23" borderId="33" xfId="12" applyFont="1" applyBorder="1" applyAlignment="1">
      <alignment horizontal="left" vertical="top" wrapText="1"/>
    </xf>
  </cellXfs>
  <cellStyles count="13">
    <cellStyle name="20% - Ênfase1" xfId="11" builtinId="30"/>
    <cellStyle name="60% - Ênfase1" xfId="12" builtinId="32"/>
    <cellStyle name="Anotações" xfId="8" xr:uid="{4BFADAE4-9A48-4905-83DD-C33EC9BB9117}"/>
    <cellStyle name="Cabeçalho das Anotações" xfId="7" xr:uid="{356D2B50-1AB3-4299-A506-04490E2748D7}"/>
    <cellStyle name="Detalhes do dia" xfId="6" xr:uid="{C40DFEB9-3F4E-48FF-ABC2-FBB276F839A0}"/>
    <cellStyle name="Dia" xfId="5" xr:uid="{B8A4D548-00C9-4478-9F7B-8F29BC6F7CFD}"/>
    <cellStyle name="Normal" xfId="0" builtinId="0"/>
    <cellStyle name="Porcentagem" xfId="10" builtinId="5"/>
    <cellStyle name="Título" xfId="1" builtinId="15"/>
    <cellStyle name="Título 1" xfId="2" builtinId="16"/>
    <cellStyle name="Título 2" xfId="3" builtinId="17"/>
    <cellStyle name="Título 3" xfId="4" builtinId="18"/>
    <cellStyle name="Vírgula" xfId="9" builtinId="3"/>
  </cellStyles>
  <dxfs count="20"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fgColor auto="1"/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4</xdr:col>
      <xdr:colOff>323851</xdr:colOff>
      <xdr:row>2</xdr:row>
      <xdr:rowOff>171451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80F6338-DC02-4232-A36F-201A6086304D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762250" cy="5524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2762249</xdr:colOff>
      <xdr:row>0</xdr:row>
      <xdr:rowOff>0</xdr:rowOff>
    </xdr:from>
    <xdr:to>
      <xdr:col>11</xdr:col>
      <xdr:colOff>647700</xdr:colOff>
      <xdr:row>2</xdr:row>
      <xdr:rowOff>152400</xdr:rowOff>
    </xdr:to>
    <xdr:pic>
      <xdr:nvPicPr>
        <xdr:cNvPr id="2" name="Imagem 1" descr="Logo Sistemas de Informação">
          <a:extLst>
            <a:ext uri="{FF2B5EF4-FFF2-40B4-BE49-F238E27FC236}">
              <a16:creationId xmlns:a16="http://schemas.microsoft.com/office/drawing/2014/main" id="{1E466393-E647-4E79-9C4A-ADF975C3995F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49" y="0"/>
          <a:ext cx="2000251" cy="5810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&#225;rio%20acad&#234;mico%20(todos%20os%20anos)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ário"/>
    </sheetNames>
    <sheetDataSet>
      <sheetData sheetId="0">
        <row r="29">
          <cell r="C29" t="str">
            <v>outubro</v>
          </cell>
        </row>
        <row r="43">
          <cell r="C43" t="str">
            <v>novembro</v>
          </cell>
        </row>
        <row r="57">
          <cell r="C57" t="str">
            <v>dezembro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Hellen Carmo de Oliveira Matos" id="{B60EADBB-D347-41EF-9227-9AE38E5BE28B}" userId="e0ce32019b8a4a93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C75FA-D65B-438D-B45D-39A93EE78758}">
  <sheetPr codeName="Planilha1"/>
  <dimension ref="A1:L49"/>
  <sheetViews>
    <sheetView topLeftCell="A2" zoomScaleNormal="100" workbookViewId="0">
      <selection activeCell="P16" sqref="P16"/>
    </sheetView>
  </sheetViews>
  <sheetFormatPr defaultRowHeight="15"/>
  <cols>
    <col min="7" max="7" width="1.5703125" customWidth="1"/>
    <col min="8" max="8" width="9.85546875" customWidth="1"/>
    <col min="9" max="9" width="42.140625" customWidth="1"/>
    <col min="10" max="10" width="10" customWidth="1"/>
    <col min="11" max="11" width="9.5703125" customWidth="1"/>
    <col min="12" max="12" width="10.140625" customWidth="1"/>
    <col min="14" max="14" width="10.42578125" bestFit="1" customWidth="1"/>
  </cols>
  <sheetData>
    <row r="1" spans="1:12" ht="18.75">
      <c r="A1" s="105"/>
      <c r="B1" s="105"/>
      <c r="C1" s="105"/>
      <c r="D1" s="105"/>
      <c r="E1" s="105"/>
      <c r="F1" s="105"/>
      <c r="G1" s="105"/>
      <c r="H1" s="105"/>
      <c r="I1" s="105"/>
      <c r="J1" s="105"/>
    </row>
    <row r="2" spans="1:12">
      <c r="A2" s="95"/>
      <c r="B2" s="95"/>
      <c r="C2" s="95"/>
      <c r="D2" s="95"/>
      <c r="E2" s="95"/>
      <c r="F2" s="95"/>
      <c r="G2" s="95"/>
      <c r="H2" s="95"/>
      <c r="I2" s="95"/>
      <c r="J2" s="95"/>
    </row>
    <row r="3" spans="1:12" ht="31.5" customHeight="1">
      <c r="A3" s="106" t="s">
        <v>0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</row>
    <row r="4" spans="1:12" ht="15.75">
      <c r="A4" s="107" t="s">
        <v>1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2">
      <c r="A5" s="95" t="s">
        <v>20</v>
      </c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</row>
    <row r="6" spans="1:12">
      <c r="A6" s="1" t="s">
        <v>2</v>
      </c>
      <c r="B6" s="45"/>
      <c r="C6" s="103" t="s">
        <v>86</v>
      </c>
      <c r="D6" s="103"/>
      <c r="E6" s="103"/>
      <c r="F6" s="103"/>
      <c r="G6" s="103"/>
      <c r="H6" s="103"/>
      <c r="I6" s="103"/>
      <c r="J6" s="103"/>
      <c r="K6" s="103"/>
      <c r="L6" s="103"/>
    </row>
    <row r="7" spans="1:12">
      <c r="A7" s="2" t="s">
        <v>3</v>
      </c>
      <c r="B7" s="46"/>
      <c r="C7" s="103"/>
      <c r="D7" s="103"/>
      <c r="E7" s="103"/>
      <c r="F7" s="103"/>
      <c r="G7" s="103"/>
      <c r="H7" s="103"/>
      <c r="I7" s="103"/>
      <c r="J7" s="103"/>
      <c r="K7" s="103"/>
      <c r="L7" s="103"/>
    </row>
    <row r="8" spans="1:12">
      <c r="A8" s="3" t="s">
        <v>4</v>
      </c>
      <c r="B8" s="4"/>
      <c r="C8" s="47"/>
      <c r="D8" s="4"/>
      <c r="E8" s="47"/>
      <c r="F8" s="104">
        <v>2019</v>
      </c>
      <c r="G8" s="104"/>
      <c r="H8" s="104"/>
      <c r="I8" s="104"/>
      <c r="J8" s="104"/>
      <c r="K8" s="104"/>
      <c r="L8" s="104"/>
    </row>
    <row r="9" spans="1:12">
      <c r="A9" t="s">
        <v>6</v>
      </c>
    </row>
    <row r="11" spans="1:12" s="40" customFormat="1" ht="27.75" customHeight="1">
      <c r="A11" s="108" t="s">
        <v>9</v>
      </c>
      <c r="B11" s="108"/>
      <c r="C11" s="108"/>
      <c r="D11" s="108"/>
      <c r="E11" s="108"/>
      <c r="F11" s="108"/>
      <c r="G11" s="108"/>
      <c r="H11" s="93" t="s">
        <v>84</v>
      </c>
      <c r="I11" s="92" t="s">
        <v>106</v>
      </c>
      <c r="J11" s="93" t="s">
        <v>107</v>
      </c>
      <c r="K11" s="50" t="s">
        <v>10</v>
      </c>
      <c r="L11" s="50" t="s">
        <v>11</v>
      </c>
    </row>
    <row r="12" spans="1:12" ht="15" customHeight="1">
      <c r="A12" s="109"/>
      <c r="B12" s="109"/>
      <c r="C12" s="109"/>
      <c r="D12" s="109"/>
      <c r="E12" s="109"/>
      <c r="F12" s="109"/>
      <c r="G12" s="109"/>
      <c r="H12" s="63"/>
      <c r="I12" s="64"/>
      <c r="J12" s="63"/>
      <c r="K12" s="63"/>
      <c r="L12" s="63">
        <f>IF(K12&gt;40,40,K12)</f>
        <v>0</v>
      </c>
    </row>
    <row r="13" spans="1:12">
      <c r="A13" s="94"/>
      <c r="B13" s="94"/>
      <c r="C13" s="94"/>
      <c r="D13" s="94"/>
      <c r="E13" s="94"/>
      <c r="F13" s="94"/>
      <c r="G13" s="94"/>
      <c r="H13" s="63"/>
      <c r="I13" s="64"/>
      <c r="J13" s="63"/>
      <c r="K13" s="63"/>
      <c r="L13" s="63">
        <f t="shared" ref="L13:L30" si="0">IF(K13&gt;40,40,K13)</f>
        <v>0</v>
      </c>
    </row>
    <row r="14" spans="1:12">
      <c r="A14" s="94"/>
      <c r="B14" s="94"/>
      <c r="C14" s="94"/>
      <c r="D14" s="94"/>
      <c r="E14" s="94"/>
      <c r="F14" s="94"/>
      <c r="G14" s="94"/>
      <c r="H14" s="63"/>
      <c r="I14" s="64"/>
      <c r="J14" s="63"/>
      <c r="K14" s="63"/>
      <c r="L14" s="63">
        <f t="shared" si="0"/>
        <v>0</v>
      </c>
    </row>
    <row r="15" spans="1:12">
      <c r="A15" s="94"/>
      <c r="B15" s="94"/>
      <c r="C15" s="94"/>
      <c r="D15" s="94"/>
      <c r="E15" s="94"/>
      <c r="F15" s="94"/>
      <c r="G15" s="94"/>
      <c r="H15" s="63"/>
      <c r="I15" s="64"/>
      <c r="J15" s="63"/>
      <c r="K15" s="63"/>
      <c r="L15" s="63">
        <f t="shared" si="0"/>
        <v>0</v>
      </c>
    </row>
    <row r="16" spans="1:12">
      <c r="A16" s="94"/>
      <c r="B16" s="94"/>
      <c r="C16" s="94"/>
      <c r="D16" s="94"/>
      <c r="E16" s="94"/>
      <c r="F16" s="94"/>
      <c r="G16" s="94"/>
      <c r="H16" s="63"/>
      <c r="I16" s="64"/>
      <c r="J16" s="63"/>
      <c r="K16" s="63"/>
      <c r="L16" s="63">
        <f t="shared" si="0"/>
        <v>0</v>
      </c>
    </row>
    <row r="17" spans="1:12">
      <c r="A17" s="94"/>
      <c r="B17" s="94"/>
      <c r="C17" s="94"/>
      <c r="D17" s="94"/>
      <c r="E17" s="94"/>
      <c r="F17" s="94"/>
      <c r="G17" s="94"/>
      <c r="H17" s="63"/>
      <c r="I17" s="64"/>
      <c r="J17" s="63"/>
      <c r="K17" s="63"/>
      <c r="L17" s="63">
        <f t="shared" ref="L17" si="1">IF(K17&gt;40,40,K17)</f>
        <v>0</v>
      </c>
    </row>
    <row r="18" spans="1:12">
      <c r="A18" s="94"/>
      <c r="B18" s="94"/>
      <c r="C18" s="94"/>
      <c r="D18" s="94"/>
      <c r="E18" s="94"/>
      <c r="F18" s="94"/>
      <c r="G18" s="94"/>
      <c r="H18" s="63"/>
      <c r="I18" s="64"/>
      <c r="J18" s="63"/>
      <c r="K18" s="63"/>
      <c r="L18" s="63">
        <f t="shared" si="0"/>
        <v>0</v>
      </c>
    </row>
    <row r="19" spans="1:12">
      <c r="A19" s="94"/>
      <c r="B19" s="94"/>
      <c r="C19" s="94"/>
      <c r="D19" s="94"/>
      <c r="E19" s="94"/>
      <c r="F19" s="94"/>
      <c r="G19" s="94"/>
      <c r="H19" s="63"/>
      <c r="I19" s="64"/>
      <c r="J19" s="63"/>
      <c r="K19" s="63"/>
      <c r="L19" s="63">
        <f t="shared" si="0"/>
        <v>0</v>
      </c>
    </row>
    <row r="20" spans="1:12">
      <c r="A20" s="94"/>
      <c r="B20" s="94"/>
      <c r="C20" s="94"/>
      <c r="D20" s="94"/>
      <c r="E20" s="94"/>
      <c r="F20" s="94"/>
      <c r="G20" s="94"/>
      <c r="H20" s="63"/>
      <c r="I20" s="64"/>
      <c r="J20" s="63"/>
      <c r="K20" s="63"/>
      <c r="L20" s="63">
        <f t="shared" si="0"/>
        <v>0</v>
      </c>
    </row>
    <row r="21" spans="1:12">
      <c r="A21" s="94"/>
      <c r="B21" s="94"/>
      <c r="C21" s="94"/>
      <c r="D21" s="94"/>
      <c r="E21" s="94"/>
      <c r="F21" s="94"/>
      <c r="G21" s="94"/>
      <c r="H21" s="63"/>
      <c r="I21" s="64"/>
      <c r="J21" s="63"/>
      <c r="K21" s="63"/>
      <c r="L21" s="63">
        <f t="shared" si="0"/>
        <v>0</v>
      </c>
    </row>
    <row r="22" spans="1:12">
      <c r="A22" s="94"/>
      <c r="B22" s="94"/>
      <c r="C22" s="94"/>
      <c r="D22" s="94"/>
      <c r="E22" s="94"/>
      <c r="F22" s="94"/>
      <c r="G22" s="94"/>
      <c r="H22" s="63"/>
      <c r="I22" s="64"/>
      <c r="J22" s="63"/>
      <c r="K22" s="63"/>
      <c r="L22" s="63">
        <f t="shared" si="0"/>
        <v>0</v>
      </c>
    </row>
    <row r="23" spans="1:12">
      <c r="A23" s="94"/>
      <c r="B23" s="94"/>
      <c r="C23" s="94"/>
      <c r="D23" s="94"/>
      <c r="E23" s="94"/>
      <c r="F23" s="94"/>
      <c r="G23" s="94"/>
      <c r="H23" s="63"/>
      <c r="I23" s="64"/>
      <c r="J23" s="63"/>
      <c r="K23" s="63"/>
      <c r="L23" s="63">
        <f t="shared" si="0"/>
        <v>0</v>
      </c>
    </row>
    <row r="24" spans="1:12">
      <c r="A24" s="94"/>
      <c r="B24" s="94"/>
      <c r="C24" s="94"/>
      <c r="D24" s="94"/>
      <c r="E24" s="94"/>
      <c r="F24" s="94"/>
      <c r="G24" s="94"/>
      <c r="H24" s="63"/>
      <c r="I24" s="64"/>
      <c r="J24" s="63"/>
      <c r="K24" s="63"/>
      <c r="L24" s="63">
        <f t="shared" si="0"/>
        <v>0</v>
      </c>
    </row>
    <row r="25" spans="1:12">
      <c r="A25" s="94"/>
      <c r="B25" s="94"/>
      <c r="C25" s="94"/>
      <c r="D25" s="94"/>
      <c r="E25" s="94"/>
      <c r="F25" s="94"/>
      <c r="G25" s="94"/>
      <c r="H25" s="63"/>
      <c r="I25" s="64"/>
      <c r="J25" s="63"/>
      <c r="K25" s="63"/>
      <c r="L25" s="63">
        <f t="shared" si="0"/>
        <v>0</v>
      </c>
    </row>
    <row r="26" spans="1:12">
      <c r="A26" s="94"/>
      <c r="B26" s="94"/>
      <c r="C26" s="94"/>
      <c r="D26" s="94"/>
      <c r="E26" s="94"/>
      <c r="F26" s="94"/>
      <c r="G26" s="94"/>
      <c r="H26" s="63"/>
      <c r="I26" s="64"/>
      <c r="J26" s="63"/>
      <c r="K26" s="63"/>
      <c r="L26" s="63">
        <f t="shared" si="0"/>
        <v>0</v>
      </c>
    </row>
    <row r="27" spans="1:12">
      <c r="A27" s="94"/>
      <c r="B27" s="94"/>
      <c r="C27" s="94"/>
      <c r="D27" s="94"/>
      <c r="E27" s="94"/>
      <c r="F27" s="94"/>
      <c r="G27" s="94"/>
      <c r="H27" s="63"/>
      <c r="I27" s="64"/>
      <c r="J27" s="63"/>
      <c r="K27" s="63"/>
      <c r="L27" s="63">
        <f t="shared" si="0"/>
        <v>0</v>
      </c>
    </row>
    <row r="28" spans="1:12">
      <c r="A28" s="94"/>
      <c r="B28" s="94"/>
      <c r="C28" s="94"/>
      <c r="D28" s="94"/>
      <c r="E28" s="94"/>
      <c r="F28" s="94"/>
      <c r="G28" s="94"/>
      <c r="H28" s="63"/>
      <c r="I28" s="64"/>
      <c r="J28" s="63"/>
      <c r="K28" s="63"/>
      <c r="L28" s="63">
        <f t="shared" si="0"/>
        <v>0</v>
      </c>
    </row>
    <row r="29" spans="1:12">
      <c r="A29" s="94"/>
      <c r="B29" s="94"/>
      <c r="C29" s="94"/>
      <c r="D29" s="94"/>
      <c r="E29" s="94"/>
      <c r="F29" s="94"/>
      <c r="G29" s="94"/>
      <c r="H29" s="63"/>
      <c r="I29" s="64"/>
      <c r="J29" s="63"/>
      <c r="K29" s="63"/>
      <c r="L29" s="63">
        <f t="shared" si="0"/>
        <v>0</v>
      </c>
    </row>
    <row r="30" spans="1:12">
      <c r="A30" s="94"/>
      <c r="B30" s="94"/>
      <c r="C30" s="94"/>
      <c r="D30" s="94"/>
      <c r="E30" s="94"/>
      <c r="F30" s="94"/>
      <c r="G30" s="94"/>
      <c r="H30" s="63"/>
      <c r="I30" s="64"/>
      <c r="J30" s="63"/>
      <c r="K30" s="63"/>
      <c r="L30" s="63">
        <f t="shared" si="0"/>
        <v>0</v>
      </c>
    </row>
    <row r="32" spans="1:12">
      <c r="K32" s="39" t="s">
        <v>95</v>
      </c>
      <c r="L32" s="39">
        <f>SUM(L12:L30)</f>
        <v>0</v>
      </c>
    </row>
    <row r="33" spans="1:12">
      <c r="A33" s="99" t="s">
        <v>102</v>
      </c>
      <c r="B33" s="99"/>
      <c r="C33" s="51" t="s">
        <v>101</v>
      </c>
      <c r="D33" s="51" t="s">
        <v>97</v>
      </c>
      <c r="I33" s="49"/>
    </row>
    <row r="34" spans="1:12">
      <c r="A34" s="101" t="s">
        <v>96</v>
      </c>
      <c r="B34" s="101"/>
      <c r="C34" s="41">
        <v>1</v>
      </c>
      <c r="D34" s="42">
        <f>IF(F8=2015,200,150)</f>
        <v>150</v>
      </c>
      <c r="K34" s="52"/>
      <c r="L34" s="53"/>
    </row>
    <row r="35" spans="1:12">
      <c r="A35" s="102" t="s">
        <v>98</v>
      </c>
      <c r="B35" s="102"/>
      <c r="C35" s="43">
        <f>SUM(C36:C38)</f>
        <v>0</v>
      </c>
      <c r="D35" s="44">
        <f>SUM(D36:D38)</f>
        <v>0</v>
      </c>
    </row>
    <row r="36" spans="1:12">
      <c r="A36" s="100" t="s">
        <v>103</v>
      </c>
      <c r="B36" s="100"/>
      <c r="C36" s="48">
        <f>Atividades!O2/$D$34</f>
        <v>0</v>
      </c>
      <c r="D36" s="44">
        <f>Atividades!O2</f>
        <v>0</v>
      </c>
    </row>
    <row r="37" spans="1:12">
      <c r="A37" s="100" t="s">
        <v>104</v>
      </c>
      <c r="B37" s="100"/>
      <c r="C37" s="48">
        <f>Atividades!O3/$D$34</f>
        <v>0</v>
      </c>
      <c r="D37" s="44">
        <f>Atividades!O3</f>
        <v>0</v>
      </c>
    </row>
    <row r="38" spans="1:12">
      <c r="A38" s="100" t="s">
        <v>105</v>
      </c>
      <c r="B38" s="100"/>
      <c r="C38" s="48">
        <f>Atividades!O4/$D$34</f>
        <v>0</v>
      </c>
      <c r="D38" s="44">
        <f>Atividades!O4</f>
        <v>0</v>
      </c>
    </row>
    <row r="39" spans="1:12">
      <c r="A39" s="54"/>
      <c r="B39" s="54"/>
      <c r="C39" s="55"/>
      <c r="D39" s="56"/>
    </row>
    <row r="40" spans="1:12">
      <c r="A40" s="96" t="s">
        <v>108</v>
      </c>
      <c r="B40" s="96"/>
      <c r="C40" s="96"/>
      <c r="D40" s="96"/>
      <c r="E40" s="57">
        <f>SUMIF(J12:J30,"D",L12:L30)/'Formulário 2019'!D34</f>
        <v>0</v>
      </c>
    </row>
    <row r="42" spans="1:12">
      <c r="A42" s="6" t="s">
        <v>12</v>
      </c>
    </row>
    <row r="43" spans="1:12">
      <c r="A43" s="6" t="s">
        <v>13</v>
      </c>
    </row>
    <row r="45" spans="1:12">
      <c r="A45" s="7"/>
    </row>
    <row r="46" spans="1:12">
      <c r="A46" s="97" t="str">
        <f>C6</f>
        <v xml:space="preserve"> </v>
      </c>
      <c r="B46" s="97"/>
      <c r="C46" s="97"/>
      <c r="D46" s="97"/>
      <c r="E46" s="5"/>
      <c r="G46" s="97" t="s">
        <v>83</v>
      </c>
      <c r="H46" s="97"/>
      <c r="I46" s="97"/>
      <c r="J46" s="97"/>
    </row>
    <row r="47" spans="1:12">
      <c r="A47" s="98" t="s">
        <v>14</v>
      </c>
      <c r="B47" s="98"/>
      <c r="C47" s="98"/>
      <c r="D47" s="98"/>
      <c r="G47" s="95" t="s">
        <v>19</v>
      </c>
      <c r="H47" s="95"/>
      <c r="I47" s="95"/>
      <c r="J47" s="95"/>
    </row>
    <row r="48" spans="1:12">
      <c r="A48" s="38"/>
      <c r="B48" s="38"/>
      <c r="C48" s="38"/>
      <c r="D48" s="38"/>
      <c r="G48" s="37"/>
      <c r="H48" s="37"/>
      <c r="I48" s="37"/>
      <c r="J48" s="37"/>
    </row>
    <row r="49" spans="1:8">
      <c r="A49" s="7" t="s">
        <v>15</v>
      </c>
      <c r="E49" s="5" t="s">
        <v>18</v>
      </c>
      <c r="H49" s="5" t="s">
        <v>16</v>
      </c>
    </row>
  </sheetData>
  <sheetProtection algorithmName="SHA-512" hashValue="yIuky9BW0ciBrjBMLcsL2hGARwbux7eALGW/YID4I206It9APFLL4ST6ygjw8RPUAbrZPh1S6u9L1WrSpu4cPg==" saltValue="XJYnAY1vIlkSGlsw/Cg93g==" spinCount="100000" sheet="1" insertRows="0"/>
  <mergeCells count="39">
    <mergeCell ref="A21:G21"/>
    <mergeCell ref="A11:G11"/>
    <mergeCell ref="A12:G12"/>
    <mergeCell ref="A13:G13"/>
    <mergeCell ref="A14:G14"/>
    <mergeCell ref="A15:G15"/>
    <mergeCell ref="A16:G16"/>
    <mergeCell ref="A18:G18"/>
    <mergeCell ref="A19:G19"/>
    <mergeCell ref="A20:G20"/>
    <mergeCell ref="A17:G17"/>
    <mergeCell ref="C6:L6"/>
    <mergeCell ref="C7:L7"/>
    <mergeCell ref="F8:L8"/>
    <mergeCell ref="A1:J1"/>
    <mergeCell ref="A2:J2"/>
    <mergeCell ref="A3:L3"/>
    <mergeCell ref="A4:L4"/>
    <mergeCell ref="A5:L5"/>
    <mergeCell ref="A26:G26"/>
    <mergeCell ref="A28:G28"/>
    <mergeCell ref="A29:G29"/>
    <mergeCell ref="A22:G22"/>
    <mergeCell ref="A23:G23"/>
    <mergeCell ref="A24:G24"/>
    <mergeCell ref="A25:G25"/>
    <mergeCell ref="A30:G30"/>
    <mergeCell ref="A27:G27"/>
    <mergeCell ref="G47:J47"/>
    <mergeCell ref="A40:D40"/>
    <mergeCell ref="A46:D46"/>
    <mergeCell ref="G46:J46"/>
    <mergeCell ref="A47:D47"/>
    <mergeCell ref="A33:B33"/>
    <mergeCell ref="A38:B38"/>
    <mergeCell ref="A34:B34"/>
    <mergeCell ref="A35:B35"/>
    <mergeCell ref="A36:B36"/>
    <mergeCell ref="A37:B37"/>
  </mergeCells>
  <conditionalFormatting sqref="E40">
    <cfRule type="expression" dxfId="19" priority="1">
      <formula>IF($E$40&lt;=0.5,1,0)</formula>
    </cfRule>
    <cfRule type="expression" dxfId="18" priority="2">
      <formula>IF($E$40&gt;0.5,1,0)</formula>
    </cfRule>
  </conditionalFormatting>
  <dataValidations count="4">
    <dataValidation allowBlank="1" showInputMessage="1" showErrorMessage="1" promptTitle="Modalidade 1" prompt="Necessário cumprir no mínimo 30% e no máximo 70% na modalidade 1." sqref="C36" xr:uid="{D25DA254-6377-464D-97D7-23D7AB9F4115}"/>
    <dataValidation allowBlank="1" showInputMessage="1" showErrorMessage="1" promptTitle="Modalidade 2" prompt="Necessário cumprir no mínimo 15% e no máximo 50% na modalidade 2." sqref="C37" xr:uid="{8395A932-F9EC-49B1-87E2-F012BC1EDCAB}"/>
    <dataValidation allowBlank="1" showInputMessage="1" showErrorMessage="1" promptTitle="Atividades à distância" prompt="Permitido o máximo de 50% das horas realizadas em atividades à distância" sqref="E40" xr:uid="{852DCFA7-EF46-4A8F-800C-27E1C2CF0809}"/>
    <dataValidation allowBlank="1" showInputMessage="1" showErrorMessage="1" promptTitle="Modalidade 3" prompt="Necessário cumprir no mínimo 15% e no máximo 50% na modalidade 3." sqref="E40 C38" xr:uid="{3F675D97-FFE1-447E-8571-8A865859A744}"/>
  </dataValidations>
  <pageMargins left="0.25" right="0.25" top="0.75" bottom="0.75" header="0.3" footer="0.3"/>
  <pageSetup paperSize="9" orientation="landscape" r:id="rId1"/>
  <headerFooter>
    <oddFooter>Página &amp;P de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A6EE286E-BAF8-4971-9469-D8905B68F5B3}">
            <xm:f>IF(AND($C36&gt;=Atividades!$T2,$C$36&lt;=Atividades!$U2),1,0)</xm:f>
            <x14:dxf>
              <font>
                <color theme="0"/>
              </font>
              <fill>
                <patternFill>
                  <fgColor auto="1"/>
                  <bgColor rgb="FF00B0F0"/>
                </patternFill>
              </fill>
            </x14:dxf>
          </x14:cfRule>
          <x14:cfRule type="expression" priority="13" id="{DB49418F-F43B-4F28-99F5-96841AC2E75E}">
            <xm:f>IF(OR($C36&lt;Atividades!$T2,$C36&gt;Atividades!$U2),1,0)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C36:C38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A370109-A962-4C59-A26A-D58B6D19C1C0}">
          <x14:formula1>
            <xm:f>Atividades!$I$2:$I$3</xm:f>
          </x14:formula1>
          <xm:sqref>F8</xm:sqref>
        </x14:dataValidation>
        <x14:dataValidation type="list" allowBlank="1" showInputMessage="1" showErrorMessage="1" xr:uid="{339EABE2-376A-4148-8526-0E287C5C20B1}">
          <x14:formula1>
            <xm:f>Atividades!$I$2:$I$19</xm:f>
          </x14:formula1>
          <xm:sqref>I33</xm:sqref>
        </x14:dataValidation>
        <x14:dataValidation type="list" allowBlank="1" showInputMessage="1" showErrorMessage="1" xr:uid="{1F39A9F2-D8F0-470B-8185-C2BB1DBD43A9}">
          <x14:formula1>
            <xm:f>Atividades!$A$2:$A$5</xm:f>
          </x14:formula1>
          <xm:sqref>H12:H30</xm:sqref>
        </x14:dataValidation>
        <x14:dataValidation type="list" allowBlank="1" showInputMessage="1" showErrorMessage="1" xr:uid="{4E3C06EB-F1F1-44CF-A402-60C3CCE75224}">
          <x14:formula1>
            <xm:f>Atividades!$L$2:$L$3</xm:f>
          </x14:formula1>
          <xm:sqref>J12:J30</xm:sqref>
        </x14:dataValidation>
        <x14:dataValidation type="list" allowBlank="1" showInputMessage="1" showErrorMessage="1" xr:uid="{68F67EDC-837A-4C9D-80FA-1D2E2C56036E}">
          <x14:formula1>
            <xm:f>(IF($H12="I",Atividades!$C$2:$C$9,IF($H12="II",Atividades!$E$2:$E$8,IF($H12="","",Atividades!$G$2:$G$19))))</xm:f>
          </x14:formula1>
          <xm:sqref>I12:I30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5A70E-A220-416F-89D4-B9FE94DF4BC4}">
  <sheetPr codeName="Planilha2"/>
  <dimension ref="A1:P95"/>
  <sheetViews>
    <sheetView topLeftCell="A75" workbookViewId="0">
      <selection activeCell="O103" sqref="O103"/>
    </sheetView>
  </sheetViews>
  <sheetFormatPr defaultRowHeight="15"/>
  <cols>
    <col min="1" max="1" width="4.5703125" customWidth="1"/>
    <col min="2" max="8" width="3.5703125" customWidth="1"/>
    <col min="9" max="9" width="5.7109375" customWidth="1"/>
    <col min="10" max="16" width="3.5703125" customWidth="1"/>
  </cols>
  <sheetData>
    <row r="1" spans="1:16" ht="33">
      <c r="A1" s="71"/>
      <c r="B1" s="114">
        <v>2019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5"/>
    </row>
    <row r="2" spans="1:16">
      <c r="A2" s="71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>
      <c r="A3" s="71"/>
      <c r="B3" s="110" t="s">
        <v>122</v>
      </c>
      <c r="C3" s="110"/>
      <c r="D3" s="110"/>
      <c r="E3" s="110"/>
      <c r="F3" s="110"/>
      <c r="G3" s="110"/>
      <c r="H3" s="110"/>
      <c r="I3" s="71"/>
      <c r="J3" s="72"/>
      <c r="K3" s="72"/>
      <c r="L3" s="72"/>
      <c r="M3" s="72"/>
      <c r="N3" s="72"/>
      <c r="O3" s="72"/>
      <c r="P3" s="72"/>
    </row>
    <row r="4" spans="1:16">
      <c r="A4" s="71"/>
      <c r="B4" s="73" t="s">
        <v>91</v>
      </c>
      <c r="C4" s="73" t="s">
        <v>123</v>
      </c>
      <c r="D4" s="73" t="s">
        <v>124</v>
      </c>
      <c r="E4" s="73" t="s">
        <v>125</v>
      </c>
      <c r="F4" s="73" t="s">
        <v>125</v>
      </c>
      <c r="G4" s="73" t="s">
        <v>123</v>
      </c>
      <c r="H4" s="73" t="s">
        <v>123</v>
      </c>
      <c r="I4" s="71"/>
      <c r="J4" s="85"/>
      <c r="K4" s="72" t="s">
        <v>136</v>
      </c>
      <c r="L4" s="72"/>
      <c r="M4" s="72"/>
      <c r="N4" s="72"/>
      <c r="O4" s="72"/>
      <c r="P4" s="72"/>
    </row>
    <row r="5" spans="1:16">
      <c r="A5" s="71"/>
      <c r="B5" s="111"/>
      <c r="C5" s="112"/>
      <c r="D5" s="112"/>
      <c r="E5" s="112"/>
      <c r="F5" s="112"/>
      <c r="G5" s="75">
        <v>1</v>
      </c>
      <c r="H5" s="75">
        <v>2</v>
      </c>
      <c r="I5" s="71"/>
      <c r="J5" s="72"/>
      <c r="K5" s="72"/>
      <c r="L5" s="72"/>
      <c r="M5" s="72"/>
      <c r="N5" s="72"/>
      <c r="O5" s="72"/>
      <c r="P5" s="72"/>
    </row>
    <row r="6" spans="1:16">
      <c r="A6" s="71"/>
      <c r="B6" s="77">
        <v>3</v>
      </c>
      <c r="C6" s="75">
        <v>4</v>
      </c>
      <c r="D6" s="75">
        <v>5</v>
      </c>
      <c r="E6" s="75">
        <v>6</v>
      </c>
      <c r="F6" s="75">
        <v>7</v>
      </c>
      <c r="G6" s="75">
        <v>8</v>
      </c>
      <c r="H6" s="77">
        <v>9</v>
      </c>
      <c r="I6" s="71"/>
      <c r="J6" s="88"/>
      <c r="K6" s="72" t="s">
        <v>137</v>
      </c>
      <c r="L6" s="72"/>
      <c r="M6" s="72"/>
      <c r="N6" s="72"/>
      <c r="O6" s="72"/>
      <c r="P6" s="72"/>
    </row>
    <row r="7" spans="1:16">
      <c r="A7" s="71"/>
      <c r="B7" s="77">
        <v>10</v>
      </c>
      <c r="C7" s="75">
        <v>11</v>
      </c>
      <c r="D7" s="75">
        <v>12</v>
      </c>
      <c r="E7" s="75">
        <v>13</v>
      </c>
      <c r="F7" s="75">
        <v>14</v>
      </c>
      <c r="G7" s="75">
        <v>15</v>
      </c>
      <c r="H7" s="77">
        <v>16</v>
      </c>
      <c r="I7" s="71"/>
      <c r="J7" s="72"/>
      <c r="K7" s="72"/>
      <c r="L7" s="72"/>
      <c r="M7" s="72"/>
      <c r="N7" s="72"/>
      <c r="O7" s="72"/>
      <c r="P7" s="72"/>
    </row>
    <row r="8" spans="1:16">
      <c r="A8" s="71"/>
      <c r="B8" s="77">
        <v>17</v>
      </c>
      <c r="C8" s="84">
        <v>18</v>
      </c>
      <c r="D8" s="75">
        <v>19</v>
      </c>
      <c r="E8" s="75">
        <v>20</v>
      </c>
      <c r="F8" s="75">
        <v>21</v>
      </c>
      <c r="G8" s="75">
        <v>22</v>
      </c>
      <c r="H8" s="77">
        <v>23</v>
      </c>
      <c r="I8" s="71"/>
      <c r="J8" s="87"/>
      <c r="K8" s="72" t="s">
        <v>138</v>
      </c>
      <c r="L8" s="72"/>
      <c r="M8" s="72"/>
      <c r="N8" s="72"/>
      <c r="O8" s="72"/>
      <c r="P8" s="72"/>
    </row>
    <row r="9" spans="1:16">
      <c r="A9" s="71"/>
      <c r="B9" s="78">
        <v>24</v>
      </c>
      <c r="C9" s="75">
        <v>25</v>
      </c>
      <c r="D9" s="88">
        <v>26</v>
      </c>
      <c r="E9" s="77">
        <v>27</v>
      </c>
      <c r="F9" s="75">
        <v>28</v>
      </c>
      <c r="G9" s="111"/>
      <c r="H9" s="112"/>
      <c r="I9" s="71"/>
      <c r="J9" s="72"/>
      <c r="K9" s="72"/>
      <c r="L9" s="72"/>
      <c r="M9" s="72"/>
      <c r="N9" s="72"/>
      <c r="O9" s="72"/>
      <c r="P9" s="72"/>
    </row>
    <row r="10" spans="1:16">
      <c r="A10" s="71"/>
      <c r="B10" s="72"/>
      <c r="C10" s="72"/>
      <c r="D10" s="72"/>
      <c r="E10" s="72"/>
      <c r="F10" s="72"/>
      <c r="G10" s="72"/>
      <c r="H10" s="72"/>
      <c r="I10" s="71"/>
      <c r="J10" s="72"/>
      <c r="K10" s="72"/>
      <c r="L10" s="72"/>
      <c r="M10" s="72"/>
      <c r="N10" s="72"/>
      <c r="O10" s="72"/>
      <c r="P10" s="72"/>
    </row>
    <row r="11" spans="1:16">
      <c r="A11" s="71"/>
      <c r="B11" s="110" t="s">
        <v>126</v>
      </c>
      <c r="C11" s="110"/>
      <c r="D11" s="110"/>
      <c r="E11" s="110"/>
      <c r="F11" s="110"/>
      <c r="G11" s="110"/>
      <c r="H11" s="110"/>
      <c r="I11" s="71"/>
    </row>
    <row r="12" spans="1:16">
      <c r="A12" s="71"/>
      <c r="B12" s="73" t="s">
        <v>91</v>
      </c>
      <c r="C12" s="73" t="s">
        <v>123</v>
      </c>
      <c r="D12" s="73" t="s">
        <v>124</v>
      </c>
      <c r="E12" s="73" t="s">
        <v>125</v>
      </c>
      <c r="F12" s="73" t="s">
        <v>125</v>
      </c>
      <c r="G12" s="73" t="s">
        <v>123</v>
      </c>
      <c r="H12" s="73" t="s">
        <v>123</v>
      </c>
      <c r="I12" s="71"/>
      <c r="J12" s="89"/>
      <c r="K12" s="90" t="s">
        <v>139</v>
      </c>
    </row>
    <row r="13" spans="1:16">
      <c r="A13" s="71"/>
      <c r="B13" s="111"/>
      <c r="C13" s="112"/>
      <c r="D13" s="112"/>
      <c r="E13" s="112"/>
      <c r="F13" s="112"/>
      <c r="G13" s="76">
        <v>1</v>
      </c>
      <c r="H13" s="77">
        <v>2</v>
      </c>
      <c r="I13" s="71"/>
    </row>
    <row r="14" spans="1:16">
      <c r="A14" s="71"/>
      <c r="B14" s="86">
        <v>3</v>
      </c>
      <c r="C14" s="87">
        <v>4</v>
      </c>
      <c r="D14" s="87">
        <v>5</v>
      </c>
      <c r="E14" s="87">
        <v>6</v>
      </c>
      <c r="F14" s="75">
        <v>7</v>
      </c>
      <c r="G14" s="75">
        <v>8</v>
      </c>
      <c r="H14" s="77">
        <v>9</v>
      </c>
      <c r="I14" s="71"/>
    </row>
    <row r="15" spans="1:16">
      <c r="A15" s="71"/>
      <c r="B15" s="77">
        <v>10</v>
      </c>
      <c r="C15" s="75">
        <v>11</v>
      </c>
      <c r="D15" s="89">
        <v>12</v>
      </c>
      <c r="E15" s="75">
        <v>13</v>
      </c>
      <c r="F15" s="75">
        <v>14</v>
      </c>
      <c r="G15" s="75">
        <v>15</v>
      </c>
      <c r="H15" s="77">
        <v>16</v>
      </c>
      <c r="I15" s="71"/>
    </row>
    <row r="16" spans="1:16">
      <c r="A16" s="71"/>
      <c r="B16" s="77">
        <v>17</v>
      </c>
      <c r="C16" s="75">
        <v>18</v>
      </c>
      <c r="D16" s="88">
        <v>19</v>
      </c>
      <c r="E16" s="75">
        <v>20</v>
      </c>
      <c r="F16" s="75">
        <v>21</v>
      </c>
      <c r="G16" s="75">
        <v>22</v>
      </c>
      <c r="H16" s="77">
        <v>23</v>
      </c>
      <c r="I16" s="71"/>
    </row>
    <row r="17" spans="1:16">
      <c r="A17" s="71"/>
      <c r="B17" s="77">
        <v>24</v>
      </c>
      <c r="C17" s="75">
        <v>25</v>
      </c>
      <c r="D17" s="88">
        <v>26</v>
      </c>
      <c r="E17" s="75">
        <v>27</v>
      </c>
      <c r="F17" s="75">
        <v>28</v>
      </c>
      <c r="G17" s="75">
        <v>29</v>
      </c>
      <c r="H17" s="77">
        <v>30</v>
      </c>
      <c r="I17" s="71"/>
    </row>
    <row r="18" spans="1:16">
      <c r="A18" s="71"/>
      <c r="B18" s="77">
        <v>31</v>
      </c>
      <c r="C18" s="111"/>
      <c r="D18" s="112"/>
      <c r="E18" s="112"/>
      <c r="F18" s="112"/>
      <c r="G18" s="112"/>
      <c r="H18" s="112"/>
      <c r="I18" s="71"/>
      <c r="J18" s="79"/>
      <c r="K18" s="80"/>
      <c r="L18" s="79"/>
      <c r="M18" s="79"/>
      <c r="N18" s="79"/>
      <c r="O18" s="79"/>
      <c r="P18" s="79"/>
    </row>
    <row r="19" spans="1:16">
      <c r="A19" s="71"/>
      <c r="B19" s="71"/>
      <c r="C19" s="71"/>
      <c r="D19" s="71"/>
      <c r="E19" s="71"/>
      <c r="F19" s="71"/>
      <c r="G19" s="71"/>
      <c r="H19" s="71"/>
      <c r="I19" s="71"/>
      <c r="J19" s="79"/>
      <c r="K19" s="80"/>
      <c r="L19" s="81"/>
      <c r="M19" s="81"/>
      <c r="N19" s="81"/>
      <c r="O19" s="81"/>
      <c r="P19" s="81"/>
    </row>
    <row r="20" spans="1:16">
      <c r="A20" s="71"/>
      <c r="B20" s="110" t="s">
        <v>127</v>
      </c>
      <c r="C20" s="110"/>
      <c r="D20" s="110"/>
      <c r="E20" s="110"/>
      <c r="F20" s="110"/>
      <c r="G20" s="110"/>
      <c r="H20" s="110"/>
      <c r="I20" s="71"/>
      <c r="J20" s="79"/>
      <c r="K20" s="80"/>
      <c r="L20" s="81"/>
      <c r="M20" s="81"/>
      <c r="N20" s="81"/>
      <c r="O20" s="81"/>
      <c r="P20" s="81"/>
    </row>
    <row r="21" spans="1:16">
      <c r="A21" s="71"/>
      <c r="B21" s="73" t="s">
        <v>91</v>
      </c>
      <c r="C21" s="73" t="s">
        <v>123</v>
      </c>
      <c r="D21" s="73" t="s">
        <v>124</v>
      </c>
      <c r="E21" s="73" t="s">
        <v>125</v>
      </c>
      <c r="F21" s="73" t="s">
        <v>125</v>
      </c>
      <c r="G21" s="73" t="s">
        <v>123</v>
      </c>
      <c r="H21" s="73" t="s">
        <v>123</v>
      </c>
      <c r="I21" s="71"/>
      <c r="J21" s="79"/>
      <c r="K21" s="80"/>
      <c r="L21" s="81"/>
      <c r="M21" s="81"/>
      <c r="N21" s="81"/>
      <c r="O21" s="81"/>
      <c r="P21" s="81"/>
    </row>
    <row r="22" spans="1:16">
      <c r="A22" s="71"/>
      <c r="B22" s="74"/>
      <c r="C22" s="75">
        <v>1</v>
      </c>
      <c r="D22" s="88">
        <v>2</v>
      </c>
      <c r="E22" s="75">
        <v>3</v>
      </c>
      <c r="F22" s="75">
        <v>4</v>
      </c>
      <c r="G22" s="75">
        <v>5</v>
      </c>
      <c r="H22" s="75">
        <v>6</v>
      </c>
      <c r="I22" s="71"/>
      <c r="J22" s="79"/>
      <c r="K22" s="80"/>
      <c r="L22" s="81"/>
      <c r="M22" s="81"/>
      <c r="N22" s="81"/>
      <c r="O22" s="81"/>
      <c r="P22" s="81"/>
    </row>
    <row r="23" spans="1:16">
      <c r="A23" s="71"/>
      <c r="B23" s="77">
        <v>7</v>
      </c>
      <c r="C23" s="75">
        <v>8</v>
      </c>
      <c r="D23" s="88">
        <v>9</v>
      </c>
      <c r="E23" s="75">
        <v>10</v>
      </c>
      <c r="F23" s="75">
        <v>11</v>
      </c>
      <c r="G23" s="75">
        <v>12</v>
      </c>
      <c r="H23" s="77">
        <v>13</v>
      </c>
      <c r="I23" s="71"/>
      <c r="J23" s="79"/>
      <c r="K23" s="80"/>
      <c r="L23" s="81"/>
      <c r="M23" s="81"/>
      <c r="N23" s="81"/>
      <c r="O23" s="81"/>
      <c r="P23" s="81"/>
    </row>
    <row r="24" spans="1:16">
      <c r="A24" s="71"/>
      <c r="B24" s="77">
        <v>14</v>
      </c>
      <c r="C24" s="75">
        <v>15</v>
      </c>
      <c r="D24" s="88">
        <v>16</v>
      </c>
      <c r="E24" s="75">
        <v>17</v>
      </c>
      <c r="F24" s="75">
        <v>18</v>
      </c>
      <c r="G24" s="87">
        <v>19</v>
      </c>
      <c r="H24" s="87">
        <v>20</v>
      </c>
      <c r="I24" s="71"/>
      <c r="J24" s="79"/>
      <c r="K24" s="80"/>
      <c r="L24" s="81"/>
      <c r="M24" s="81"/>
      <c r="N24" s="81"/>
      <c r="O24" s="81"/>
      <c r="P24" s="81"/>
    </row>
    <row r="25" spans="1:16">
      <c r="A25" s="71"/>
      <c r="B25" s="77">
        <v>21</v>
      </c>
      <c r="C25" s="75">
        <v>22</v>
      </c>
      <c r="D25" s="88">
        <v>23</v>
      </c>
      <c r="E25" s="75">
        <v>24</v>
      </c>
      <c r="F25" s="75">
        <v>25</v>
      </c>
      <c r="G25" s="75">
        <v>26</v>
      </c>
      <c r="H25" s="77">
        <v>27</v>
      </c>
      <c r="I25" s="71"/>
      <c r="J25" s="79"/>
      <c r="K25" s="80"/>
      <c r="L25" s="81"/>
      <c r="M25" s="81"/>
      <c r="N25" s="81"/>
      <c r="O25" s="81"/>
      <c r="P25" s="81"/>
    </row>
    <row r="26" spans="1:16">
      <c r="A26" s="71"/>
      <c r="B26" s="77">
        <v>28</v>
      </c>
      <c r="C26" s="75">
        <v>29</v>
      </c>
      <c r="D26" s="88">
        <v>30</v>
      </c>
      <c r="E26" s="111"/>
      <c r="F26" s="112"/>
      <c r="G26" s="112"/>
      <c r="H26" s="112"/>
      <c r="I26" s="71"/>
      <c r="J26" s="79"/>
      <c r="K26" s="80"/>
      <c r="L26" s="81"/>
      <c r="M26" s="81"/>
      <c r="N26" s="81"/>
      <c r="O26" s="81"/>
      <c r="P26" s="81"/>
    </row>
    <row r="27" spans="1:16">
      <c r="A27" s="71"/>
      <c r="B27" s="71"/>
      <c r="C27" s="71"/>
      <c r="D27" s="71"/>
      <c r="E27" s="71"/>
      <c r="F27" s="71"/>
      <c r="G27" s="71"/>
      <c r="H27" s="71"/>
      <c r="I27" s="71"/>
      <c r="J27" s="79"/>
      <c r="K27" s="80"/>
      <c r="L27" s="81"/>
      <c r="M27" s="81"/>
      <c r="N27" s="81"/>
      <c r="O27" s="81"/>
      <c r="P27" s="81"/>
    </row>
    <row r="28" spans="1:16">
      <c r="A28" s="71"/>
      <c r="B28" s="110" t="s">
        <v>128</v>
      </c>
      <c r="C28" s="110"/>
      <c r="D28" s="110"/>
      <c r="E28" s="110"/>
      <c r="F28" s="110"/>
      <c r="G28" s="110"/>
      <c r="H28" s="110"/>
      <c r="I28" s="71"/>
    </row>
    <row r="29" spans="1:16">
      <c r="A29" s="71"/>
      <c r="B29" s="73" t="s">
        <v>91</v>
      </c>
      <c r="C29" s="73" t="s">
        <v>123</v>
      </c>
      <c r="D29" s="73" t="s">
        <v>124</v>
      </c>
      <c r="E29" s="73" t="s">
        <v>125</v>
      </c>
      <c r="F29" s="73" t="s">
        <v>125</v>
      </c>
      <c r="G29" s="73" t="s">
        <v>123</v>
      </c>
      <c r="H29" s="73" t="s">
        <v>123</v>
      </c>
      <c r="I29" s="71"/>
    </row>
    <row r="30" spans="1:16">
      <c r="A30" s="71"/>
      <c r="B30" s="111"/>
      <c r="C30" s="112"/>
      <c r="D30" s="112"/>
      <c r="E30" s="87">
        <v>1</v>
      </c>
      <c r="F30" s="75">
        <v>2</v>
      </c>
      <c r="G30" s="75">
        <v>3</v>
      </c>
      <c r="H30" s="77">
        <v>4</v>
      </c>
      <c r="I30" s="71"/>
    </row>
    <row r="31" spans="1:16">
      <c r="A31" s="71"/>
      <c r="B31" s="77">
        <v>5</v>
      </c>
      <c r="C31" s="75">
        <v>6</v>
      </c>
      <c r="D31" s="88">
        <v>7</v>
      </c>
      <c r="E31" s="75">
        <v>8</v>
      </c>
      <c r="F31" s="75">
        <v>9</v>
      </c>
      <c r="G31" s="75">
        <v>10</v>
      </c>
      <c r="H31" s="77">
        <v>11</v>
      </c>
      <c r="I31" s="71"/>
    </row>
    <row r="32" spans="1:16">
      <c r="A32" s="71"/>
      <c r="B32" s="77">
        <v>12</v>
      </c>
      <c r="C32" s="75">
        <v>13</v>
      </c>
      <c r="D32" s="88">
        <v>14</v>
      </c>
      <c r="E32" s="75">
        <v>15</v>
      </c>
      <c r="F32" s="75">
        <v>16</v>
      </c>
      <c r="G32" s="75">
        <v>17</v>
      </c>
      <c r="H32" s="77">
        <v>18</v>
      </c>
      <c r="I32" s="71"/>
    </row>
    <row r="33" spans="1:16">
      <c r="A33" s="71"/>
      <c r="B33" s="77">
        <v>19</v>
      </c>
      <c r="C33" s="75">
        <v>20</v>
      </c>
      <c r="D33" s="89">
        <v>21</v>
      </c>
      <c r="E33" s="75">
        <v>22</v>
      </c>
      <c r="F33" s="75">
        <v>23</v>
      </c>
      <c r="G33" s="75">
        <v>24</v>
      </c>
      <c r="H33" s="77">
        <v>25</v>
      </c>
      <c r="I33" s="71"/>
      <c r="J33" s="89"/>
      <c r="K33" s="90" t="s">
        <v>140</v>
      </c>
    </row>
    <row r="34" spans="1:16">
      <c r="A34" s="71"/>
      <c r="B34" s="75">
        <v>26</v>
      </c>
      <c r="C34" s="75">
        <v>27</v>
      </c>
      <c r="D34" s="91">
        <v>28</v>
      </c>
      <c r="E34" s="75">
        <v>29</v>
      </c>
      <c r="F34" s="75">
        <v>30</v>
      </c>
      <c r="G34" s="75">
        <v>31</v>
      </c>
      <c r="H34" s="74"/>
      <c r="I34" s="71"/>
      <c r="J34" s="91"/>
      <c r="K34" t="s">
        <v>141</v>
      </c>
    </row>
    <row r="35" spans="1:16">
      <c r="A35" s="71"/>
      <c r="B35" s="80"/>
      <c r="C35" s="80"/>
      <c r="D35" s="80"/>
      <c r="E35" s="80"/>
      <c r="F35" s="80"/>
      <c r="G35" s="80"/>
      <c r="H35" s="80"/>
      <c r="I35" s="71"/>
    </row>
    <row r="36" spans="1:16">
      <c r="A36" s="71"/>
      <c r="B36" s="110" t="s">
        <v>129</v>
      </c>
      <c r="C36" s="110"/>
      <c r="D36" s="110"/>
      <c r="E36" s="110"/>
      <c r="F36" s="110"/>
      <c r="G36" s="110"/>
      <c r="H36" s="110"/>
      <c r="I36" s="71"/>
      <c r="J36" s="79"/>
      <c r="K36" s="82"/>
      <c r="L36" s="83"/>
      <c r="M36" s="83"/>
      <c r="N36" s="83"/>
      <c r="O36" s="83"/>
      <c r="P36" s="83"/>
    </row>
    <row r="37" spans="1:16">
      <c r="A37" s="71"/>
      <c r="B37" s="73" t="s">
        <v>91</v>
      </c>
      <c r="C37" s="73" t="s">
        <v>123</v>
      </c>
      <c r="D37" s="73" t="s">
        <v>124</v>
      </c>
      <c r="E37" s="73" t="s">
        <v>125</v>
      </c>
      <c r="F37" s="73" t="s">
        <v>125</v>
      </c>
      <c r="G37" s="73" t="s">
        <v>123</v>
      </c>
      <c r="H37" s="73" t="s">
        <v>123</v>
      </c>
      <c r="I37" s="71"/>
      <c r="J37" s="79"/>
      <c r="K37" s="82"/>
      <c r="L37" s="83"/>
      <c r="M37" s="83"/>
      <c r="N37" s="83"/>
      <c r="O37" s="83"/>
      <c r="P37" s="83"/>
    </row>
    <row r="38" spans="1:16">
      <c r="A38" s="71"/>
      <c r="B38" s="111"/>
      <c r="C38" s="112"/>
      <c r="D38" s="112"/>
      <c r="E38" s="112"/>
      <c r="F38" s="112"/>
      <c r="G38" s="112"/>
      <c r="H38" s="75">
        <v>1</v>
      </c>
      <c r="I38" s="71"/>
      <c r="J38" s="79"/>
      <c r="K38" s="82"/>
      <c r="L38" s="83"/>
      <c r="M38" s="83"/>
      <c r="N38" s="83"/>
      <c r="O38" s="83"/>
      <c r="P38" s="83"/>
    </row>
    <row r="39" spans="1:16">
      <c r="A39" s="71"/>
      <c r="B39" s="77">
        <v>2</v>
      </c>
      <c r="C39" s="75">
        <v>3</v>
      </c>
      <c r="D39" s="88">
        <v>4</v>
      </c>
      <c r="E39" s="75">
        <v>5</v>
      </c>
      <c r="F39" s="75">
        <v>6</v>
      </c>
      <c r="G39" s="75">
        <v>7</v>
      </c>
      <c r="H39" s="77">
        <v>8</v>
      </c>
      <c r="I39" s="71"/>
      <c r="J39" s="79"/>
      <c r="K39" s="82"/>
      <c r="L39" s="83"/>
      <c r="M39" s="83"/>
      <c r="N39" s="83"/>
      <c r="O39" s="83"/>
      <c r="P39" s="83"/>
    </row>
    <row r="40" spans="1:16">
      <c r="A40" s="71"/>
      <c r="B40" s="77">
        <v>9</v>
      </c>
      <c r="C40" s="75">
        <v>10</v>
      </c>
      <c r="D40" s="88">
        <v>11</v>
      </c>
      <c r="E40" s="75">
        <v>12</v>
      </c>
      <c r="F40" s="75">
        <v>13</v>
      </c>
      <c r="G40" s="75">
        <v>14</v>
      </c>
      <c r="H40" s="77">
        <v>15</v>
      </c>
      <c r="I40" s="71"/>
      <c r="J40" s="79"/>
      <c r="K40" s="82"/>
      <c r="L40" s="83"/>
      <c r="M40" s="83"/>
      <c r="N40" s="83"/>
      <c r="O40" s="83"/>
      <c r="P40" s="83"/>
    </row>
    <row r="41" spans="1:16">
      <c r="A41" s="71"/>
      <c r="B41" s="77">
        <v>16</v>
      </c>
      <c r="C41" s="75">
        <v>17</v>
      </c>
      <c r="D41" s="88">
        <v>18</v>
      </c>
      <c r="E41" s="75">
        <v>19</v>
      </c>
      <c r="F41" s="87">
        <v>20</v>
      </c>
      <c r="G41" s="87">
        <v>21</v>
      </c>
      <c r="H41" s="87">
        <v>22</v>
      </c>
      <c r="I41" s="71"/>
      <c r="J41" s="79"/>
      <c r="K41" s="82"/>
      <c r="L41" s="83"/>
      <c r="M41" s="83"/>
      <c r="N41" s="83"/>
      <c r="O41" s="83"/>
      <c r="P41" s="83"/>
    </row>
    <row r="42" spans="1:16">
      <c r="A42" s="71"/>
      <c r="B42" s="77">
        <v>23</v>
      </c>
      <c r="C42" s="75">
        <v>24</v>
      </c>
      <c r="D42" s="88">
        <v>25</v>
      </c>
      <c r="E42" s="78">
        <v>26</v>
      </c>
      <c r="F42" s="78">
        <v>27</v>
      </c>
      <c r="G42" s="78">
        <v>28</v>
      </c>
      <c r="H42" s="78">
        <v>29</v>
      </c>
      <c r="I42" s="71"/>
      <c r="J42" s="79"/>
      <c r="K42" s="82"/>
      <c r="L42" s="83"/>
      <c r="M42" s="83"/>
      <c r="N42" s="83"/>
      <c r="O42" s="83"/>
      <c r="P42" s="83"/>
    </row>
    <row r="43" spans="1:16">
      <c r="A43" s="71"/>
      <c r="B43" s="77">
        <v>30</v>
      </c>
      <c r="C43" s="111"/>
      <c r="D43" s="112"/>
      <c r="E43" s="112"/>
      <c r="F43" s="112"/>
      <c r="G43" s="112"/>
      <c r="H43" s="112"/>
      <c r="I43" s="71"/>
      <c r="J43" s="79"/>
      <c r="K43" s="82"/>
      <c r="L43" s="83"/>
      <c r="M43" s="83"/>
      <c r="N43" s="83"/>
      <c r="O43" s="83"/>
      <c r="P43" s="83"/>
    </row>
    <row r="44" spans="1:16">
      <c r="A44" s="71"/>
      <c r="B44" s="80"/>
      <c r="C44" s="80"/>
      <c r="D44" s="80"/>
      <c r="E44" s="80"/>
      <c r="F44" s="80"/>
      <c r="G44" s="80"/>
      <c r="H44" s="79"/>
      <c r="I44" s="71"/>
      <c r="J44" s="71"/>
      <c r="K44" s="71"/>
      <c r="L44" s="71"/>
      <c r="M44" s="71"/>
      <c r="N44" s="71"/>
      <c r="O44" s="71"/>
      <c r="P44" s="71"/>
    </row>
    <row r="45" spans="1:16">
      <c r="A45" s="71"/>
      <c r="B45" s="110" t="s">
        <v>130</v>
      </c>
      <c r="C45" s="110"/>
      <c r="D45" s="110"/>
      <c r="E45" s="110"/>
      <c r="F45" s="110"/>
      <c r="G45" s="110"/>
      <c r="H45" s="110"/>
      <c r="I45" s="71"/>
    </row>
    <row r="46" spans="1:16">
      <c r="A46" s="71"/>
      <c r="B46" s="73" t="s">
        <v>91</v>
      </c>
      <c r="C46" s="73" t="s">
        <v>123</v>
      </c>
      <c r="D46" s="73" t="s">
        <v>124</v>
      </c>
      <c r="E46" s="73" t="s">
        <v>125</v>
      </c>
      <c r="F46" s="73" t="s">
        <v>125</v>
      </c>
      <c r="G46" s="73" t="s">
        <v>123</v>
      </c>
      <c r="H46" s="73" t="s">
        <v>123</v>
      </c>
      <c r="I46" s="71"/>
    </row>
    <row r="47" spans="1:16">
      <c r="A47" s="71"/>
      <c r="B47" s="74"/>
      <c r="C47" s="87">
        <v>1</v>
      </c>
      <c r="D47" s="87">
        <v>2</v>
      </c>
      <c r="E47" s="87">
        <v>3</v>
      </c>
      <c r="F47" s="87">
        <v>4</v>
      </c>
      <c r="G47" s="87">
        <v>5</v>
      </c>
      <c r="H47" s="87">
        <v>6</v>
      </c>
      <c r="I47" s="71"/>
    </row>
    <row r="48" spans="1:16">
      <c r="A48" s="71"/>
      <c r="B48" s="87">
        <v>7</v>
      </c>
      <c r="C48" s="87">
        <v>8</v>
      </c>
      <c r="D48" s="87">
        <v>9</v>
      </c>
      <c r="E48" s="87">
        <v>10</v>
      </c>
      <c r="F48" s="87">
        <v>11</v>
      </c>
      <c r="G48" s="87">
        <v>12</v>
      </c>
      <c r="H48" s="87">
        <v>13</v>
      </c>
      <c r="I48" s="71"/>
    </row>
    <row r="49" spans="1:16">
      <c r="A49" s="71"/>
      <c r="B49" s="87">
        <v>14</v>
      </c>
      <c r="C49" s="87">
        <v>15</v>
      </c>
      <c r="D49" s="87">
        <v>16</v>
      </c>
      <c r="E49" s="87">
        <v>17</v>
      </c>
      <c r="F49" s="87">
        <v>18</v>
      </c>
      <c r="G49" s="87">
        <v>19</v>
      </c>
      <c r="H49" s="87">
        <v>20</v>
      </c>
      <c r="I49" s="71"/>
    </row>
    <row r="50" spans="1:16">
      <c r="A50" s="71"/>
      <c r="B50" s="87">
        <v>21</v>
      </c>
      <c r="C50" s="87">
        <v>22</v>
      </c>
      <c r="D50" s="87">
        <v>23</v>
      </c>
      <c r="E50" s="87">
        <v>24</v>
      </c>
      <c r="F50" s="87">
        <v>25</v>
      </c>
      <c r="G50" s="87">
        <v>26</v>
      </c>
      <c r="H50" s="87">
        <v>27</v>
      </c>
      <c r="I50" s="71"/>
    </row>
    <row r="51" spans="1:16">
      <c r="A51" s="71"/>
      <c r="B51" s="87">
        <v>28</v>
      </c>
      <c r="C51" s="87">
        <v>29</v>
      </c>
      <c r="D51" s="87">
        <v>30</v>
      </c>
      <c r="E51" s="87">
        <v>31</v>
      </c>
      <c r="F51" s="111"/>
      <c r="G51" s="112"/>
      <c r="H51" s="112"/>
      <c r="I51" s="71"/>
    </row>
    <row r="52" spans="1:16">
      <c r="A52" s="71"/>
      <c r="B52" s="72"/>
      <c r="C52" s="72"/>
      <c r="D52" s="72"/>
      <c r="E52" s="72"/>
      <c r="F52" s="72"/>
      <c r="G52" s="72"/>
      <c r="H52" s="72"/>
      <c r="I52" s="71"/>
      <c r="J52" s="72"/>
      <c r="K52" s="72"/>
      <c r="L52" s="72"/>
      <c r="M52" s="72"/>
      <c r="N52" s="72"/>
      <c r="O52" s="72"/>
      <c r="P52" s="72"/>
    </row>
    <row r="53" spans="1:16">
      <c r="A53" s="71"/>
      <c r="B53" s="110" t="s">
        <v>131</v>
      </c>
      <c r="C53" s="110"/>
      <c r="D53" s="110"/>
      <c r="E53" s="110"/>
      <c r="F53" s="110"/>
      <c r="G53" s="110"/>
      <c r="H53" s="110"/>
      <c r="I53" s="71"/>
      <c r="J53" s="72"/>
      <c r="K53" s="72"/>
      <c r="L53" s="72"/>
      <c r="M53" s="72"/>
      <c r="N53" s="72"/>
      <c r="O53" s="72"/>
      <c r="P53" s="72"/>
    </row>
    <row r="54" spans="1:16">
      <c r="A54" s="71"/>
      <c r="B54" s="73" t="s">
        <v>91</v>
      </c>
      <c r="C54" s="73" t="s">
        <v>123</v>
      </c>
      <c r="D54" s="73" t="s">
        <v>124</v>
      </c>
      <c r="E54" s="73" t="s">
        <v>125</v>
      </c>
      <c r="F54" s="73" t="s">
        <v>125</v>
      </c>
      <c r="G54" s="73" t="s">
        <v>123</v>
      </c>
      <c r="H54" s="73" t="s">
        <v>123</v>
      </c>
      <c r="I54" s="71"/>
      <c r="J54" s="72"/>
      <c r="K54" s="72"/>
      <c r="L54" s="72"/>
      <c r="M54" s="72"/>
      <c r="N54" s="72"/>
      <c r="O54" s="72"/>
      <c r="P54" s="72"/>
    </row>
    <row r="55" spans="1:16">
      <c r="A55" s="71"/>
      <c r="B55" s="111"/>
      <c r="C55" s="112"/>
      <c r="D55" s="112"/>
      <c r="E55" s="112"/>
      <c r="F55" s="75">
        <v>1</v>
      </c>
      <c r="G55" s="75">
        <v>2</v>
      </c>
      <c r="H55" s="75">
        <v>3</v>
      </c>
      <c r="I55" s="71"/>
      <c r="J55" s="72"/>
      <c r="K55" s="72"/>
      <c r="L55" s="72"/>
      <c r="M55" s="72"/>
      <c r="N55" s="72"/>
      <c r="O55" s="72"/>
      <c r="P55" s="72"/>
    </row>
    <row r="56" spans="1:16">
      <c r="A56" s="71"/>
      <c r="B56" s="77">
        <v>4</v>
      </c>
      <c r="C56" s="84">
        <v>5</v>
      </c>
      <c r="D56" s="88">
        <v>6</v>
      </c>
      <c r="E56" s="75">
        <v>7</v>
      </c>
      <c r="F56" s="75">
        <v>8</v>
      </c>
      <c r="G56" s="75">
        <v>9</v>
      </c>
      <c r="H56" s="77">
        <v>10</v>
      </c>
      <c r="I56" s="71"/>
      <c r="J56" s="72"/>
      <c r="K56" s="72"/>
      <c r="L56" s="72"/>
      <c r="M56" s="72"/>
      <c r="N56" s="72"/>
      <c r="O56" s="72"/>
      <c r="P56" s="72"/>
    </row>
    <row r="57" spans="1:16">
      <c r="A57" s="71"/>
      <c r="B57" s="77">
        <v>11</v>
      </c>
      <c r="C57" s="75">
        <v>12</v>
      </c>
      <c r="D57" s="88">
        <v>13</v>
      </c>
      <c r="E57" s="75">
        <v>14</v>
      </c>
      <c r="F57" s="75">
        <v>15</v>
      </c>
      <c r="G57" s="75">
        <v>16</v>
      </c>
      <c r="H57" s="77">
        <v>17</v>
      </c>
      <c r="I57" s="71"/>
      <c r="J57" s="72"/>
      <c r="K57" s="72"/>
      <c r="L57" s="72"/>
      <c r="M57" s="72"/>
      <c r="N57" s="72"/>
      <c r="O57" s="72"/>
      <c r="P57" s="72"/>
    </row>
    <row r="58" spans="1:16">
      <c r="A58" s="71"/>
      <c r="B58" s="77">
        <v>18</v>
      </c>
      <c r="C58" s="75">
        <v>19</v>
      </c>
      <c r="D58" s="88">
        <v>20</v>
      </c>
      <c r="E58" s="75">
        <v>21</v>
      </c>
      <c r="F58" s="75">
        <v>22</v>
      </c>
      <c r="G58" s="75">
        <v>23</v>
      </c>
      <c r="H58" s="77">
        <v>24</v>
      </c>
      <c r="I58" s="71"/>
      <c r="J58" s="72"/>
      <c r="K58" s="72"/>
      <c r="L58" s="72"/>
      <c r="M58" s="72"/>
      <c r="N58" s="72"/>
      <c r="O58" s="72"/>
      <c r="P58" s="72"/>
    </row>
    <row r="59" spans="1:16">
      <c r="A59" s="71"/>
      <c r="B59" s="77">
        <v>25</v>
      </c>
      <c r="C59" s="75">
        <v>26</v>
      </c>
      <c r="D59" s="88">
        <v>27</v>
      </c>
      <c r="E59" s="78">
        <v>28</v>
      </c>
      <c r="F59" s="78">
        <v>29</v>
      </c>
      <c r="G59" s="78">
        <v>30</v>
      </c>
      <c r="H59" s="78">
        <v>31</v>
      </c>
      <c r="I59" s="71"/>
      <c r="J59" s="72"/>
      <c r="K59" s="72"/>
      <c r="L59" s="72"/>
      <c r="M59" s="72"/>
      <c r="N59" s="72"/>
      <c r="O59" s="72"/>
      <c r="P59" s="72"/>
    </row>
    <row r="60" spans="1:16">
      <c r="A60" s="71"/>
      <c r="B60" s="72"/>
      <c r="C60" s="72"/>
      <c r="D60" s="72"/>
      <c r="E60" s="72"/>
      <c r="F60" s="72"/>
      <c r="G60" s="72"/>
      <c r="H60" s="72"/>
      <c r="I60" s="71"/>
      <c r="J60" s="72"/>
      <c r="K60" s="72"/>
      <c r="L60" s="72"/>
      <c r="M60" s="72"/>
      <c r="N60" s="72"/>
      <c r="O60" s="72"/>
      <c r="P60" s="72"/>
    </row>
    <row r="61" spans="1:16">
      <c r="A61" s="71"/>
      <c r="B61" s="110" t="s">
        <v>132</v>
      </c>
      <c r="C61" s="110"/>
      <c r="D61" s="110"/>
      <c r="E61" s="110"/>
      <c r="F61" s="110"/>
      <c r="G61" s="110"/>
      <c r="H61" s="110"/>
      <c r="I61" s="71"/>
    </row>
    <row r="62" spans="1:16">
      <c r="A62" s="71"/>
      <c r="B62" s="73" t="s">
        <v>91</v>
      </c>
      <c r="C62" s="73" t="s">
        <v>123</v>
      </c>
      <c r="D62" s="73" t="s">
        <v>124</v>
      </c>
      <c r="E62" s="73" t="s">
        <v>125</v>
      </c>
      <c r="F62" s="73" t="s">
        <v>125</v>
      </c>
      <c r="G62" s="73" t="s">
        <v>123</v>
      </c>
      <c r="H62" s="73" t="s">
        <v>123</v>
      </c>
      <c r="I62" s="71"/>
    </row>
    <row r="63" spans="1:16">
      <c r="A63" s="71"/>
      <c r="B63" s="77">
        <v>1</v>
      </c>
      <c r="C63" s="75">
        <v>2</v>
      </c>
      <c r="D63" s="88">
        <v>3</v>
      </c>
      <c r="E63" s="75">
        <v>4</v>
      </c>
      <c r="F63" s="75">
        <v>5</v>
      </c>
      <c r="G63" s="76">
        <v>6</v>
      </c>
      <c r="H63" s="87">
        <v>7</v>
      </c>
      <c r="I63" s="71"/>
    </row>
    <row r="64" spans="1:16">
      <c r="A64" s="71"/>
      <c r="B64" s="77">
        <v>8</v>
      </c>
      <c r="C64" s="75">
        <v>9</v>
      </c>
      <c r="D64" s="88">
        <v>10</v>
      </c>
      <c r="E64" s="75">
        <v>11</v>
      </c>
      <c r="F64" s="75">
        <v>12</v>
      </c>
      <c r="G64" s="75">
        <v>13</v>
      </c>
      <c r="H64" s="77">
        <v>14</v>
      </c>
      <c r="I64" s="71"/>
    </row>
    <row r="65" spans="1:16">
      <c r="A65" s="71"/>
      <c r="B65" s="77">
        <v>15</v>
      </c>
      <c r="C65" s="75">
        <v>16</v>
      </c>
      <c r="D65" s="88">
        <v>17</v>
      </c>
      <c r="E65" s="75">
        <v>18</v>
      </c>
      <c r="F65" s="75">
        <v>19</v>
      </c>
      <c r="G65" s="75">
        <v>20</v>
      </c>
      <c r="H65" s="77">
        <v>21</v>
      </c>
      <c r="I65" s="71"/>
    </row>
    <row r="66" spans="1:16">
      <c r="A66" s="71"/>
      <c r="B66" s="77">
        <v>22</v>
      </c>
      <c r="C66" s="75">
        <v>23</v>
      </c>
      <c r="D66" s="88">
        <v>24</v>
      </c>
      <c r="E66" s="75">
        <v>25</v>
      </c>
      <c r="F66" s="75">
        <v>26</v>
      </c>
      <c r="G66" s="75">
        <v>27</v>
      </c>
      <c r="H66" s="77">
        <v>28</v>
      </c>
      <c r="I66" s="71"/>
    </row>
    <row r="67" spans="1:16">
      <c r="A67" s="71"/>
      <c r="B67" s="77">
        <v>29</v>
      </c>
      <c r="C67" s="75">
        <v>30</v>
      </c>
      <c r="D67" s="111"/>
      <c r="E67" s="112"/>
      <c r="F67" s="112"/>
      <c r="G67" s="112"/>
      <c r="H67" s="112"/>
      <c r="I67" s="71"/>
    </row>
    <row r="68" spans="1:16">
      <c r="A68" s="71"/>
      <c r="B68" s="72"/>
      <c r="C68" s="72"/>
      <c r="D68" s="72"/>
      <c r="E68" s="72"/>
      <c r="F68" s="72"/>
      <c r="G68" s="72"/>
      <c r="H68" s="72"/>
      <c r="I68" s="71"/>
      <c r="J68" s="72"/>
      <c r="K68" s="72"/>
      <c r="L68" s="72"/>
      <c r="M68" s="72"/>
      <c r="N68" s="72"/>
      <c r="O68" s="72"/>
      <c r="P68" s="72"/>
    </row>
    <row r="69" spans="1:16">
      <c r="A69" s="71"/>
      <c r="B69" s="110" t="s">
        <v>133</v>
      </c>
      <c r="C69" s="110"/>
      <c r="D69" s="110"/>
      <c r="E69" s="110"/>
      <c r="F69" s="110"/>
      <c r="G69" s="110"/>
      <c r="H69" s="110"/>
      <c r="I69" s="71"/>
      <c r="J69" s="72"/>
      <c r="K69" s="72"/>
      <c r="L69" s="72"/>
      <c r="M69" s="72"/>
      <c r="N69" s="72"/>
      <c r="O69" s="72"/>
      <c r="P69" s="72"/>
    </row>
    <row r="70" spans="1:16">
      <c r="A70" s="71"/>
      <c r="B70" s="73" t="s">
        <v>91</v>
      </c>
      <c r="C70" s="73" t="s">
        <v>123</v>
      </c>
      <c r="D70" s="73" t="s">
        <v>124</v>
      </c>
      <c r="E70" s="73" t="s">
        <v>125</v>
      </c>
      <c r="F70" s="73" t="s">
        <v>125</v>
      </c>
      <c r="G70" s="73" t="s">
        <v>123</v>
      </c>
      <c r="H70" s="73" t="s">
        <v>123</v>
      </c>
      <c r="I70" s="71"/>
      <c r="J70" s="72"/>
      <c r="K70" s="72"/>
      <c r="L70" s="72"/>
      <c r="M70" s="72"/>
      <c r="N70" s="72"/>
      <c r="O70" s="72"/>
      <c r="P70" s="72"/>
    </row>
    <row r="71" spans="1:16">
      <c r="A71" s="71"/>
      <c r="B71" s="111"/>
      <c r="C71" s="112"/>
      <c r="D71" s="88">
        <v>1</v>
      </c>
      <c r="E71" s="75">
        <v>2</v>
      </c>
      <c r="F71" s="75">
        <v>3</v>
      </c>
      <c r="G71" s="75">
        <v>4</v>
      </c>
      <c r="H71" s="75">
        <v>5</v>
      </c>
      <c r="I71" s="71"/>
      <c r="J71" s="72"/>
      <c r="K71" s="72"/>
      <c r="L71" s="72"/>
      <c r="M71" s="72"/>
      <c r="N71" s="72"/>
      <c r="O71" s="72"/>
      <c r="P71" s="72"/>
    </row>
    <row r="72" spans="1:16">
      <c r="A72" s="71"/>
      <c r="B72" s="77">
        <v>6</v>
      </c>
      <c r="C72" s="75">
        <v>7</v>
      </c>
      <c r="D72" s="88">
        <v>8</v>
      </c>
      <c r="E72" s="75">
        <v>9</v>
      </c>
      <c r="F72" s="75">
        <v>10</v>
      </c>
      <c r="G72" s="75">
        <v>11</v>
      </c>
      <c r="H72" s="87">
        <v>12</v>
      </c>
      <c r="I72" s="71"/>
      <c r="J72" s="72"/>
      <c r="K72" s="72"/>
      <c r="L72" s="72"/>
      <c r="M72" s="72"/>
      <c r="N72" s="72"/>
      <c r="O72" s="72"/>
      <c r="P72" s="72"/>
    </row>
    <row r="73" spans="1:16">
      <c r="A73" s="71"/>
      <c r="B73" s="77">
        <v>13</v>
      </c>
      <c r="C73" s="75">
        <v>14</v>
      </c>
      <c r="D73" s="88">
        <v>15</v>
      </c>
      <c r="E73" s="75">
        <v>16</v>
      </c>
      <c r="F73" s="75">
        <v>17</v>
      </c>
      <c r="G73" s="75">
        <v>18</v>
      </c>
      <c r="H73" s="77">
        <v>19</v>
      </c>
      <c r="I73" s="71"/>
      <c r="J73" s="72"/>
      <c r="K73" s="72"/>
      <c r="L73" s="72"/>
      <c r="M73" s="72"/>
      <c r="N73" s="72"/>
      <c r="O73" s="72"/>
      <c r="P73" s="72"/>
    </row>
    <row r="74" spans="1:16">
      <c r="A74" s="71"/>
      <c r="B74" s="77">
        <v>20</v>
      </c>
      <c r="C74" s="75">
        <v>21</v>
      </c>
      <c r="D74" s="88">
        <v>22</v>
      </c>
      <c r="E74" s="75">
        <v>23</v>
      </c>
      <c r="F74" s="87">
        <v>24</v>
      </c>
      <c r="G74" s="87">
        <v>25</v>
      </c>
      <c r="H74" s="87">
        <v>26</v>
      </c>
      <c r="I74" s="71"/>
      <c r="J74" s="72"/>
      <c r="K74" s="72"/>
      <c r="L74" s="72"/>
      <c r="M74" s="72"/>
      <c r="N74" s="72"/>
      <c r="O74" s="72"/>
      <c r="P74" s="72"/>
    </row>
    <row r="75" spans="1:16">
      <c r="A75" s="71"/>
      <c r="B75" s="87">
        <v>27</v>
      </c>
      <c r="C75" s="87">
        <v>28</v>
      </c>
      <c r="D75" s="88">
        <v>29</v>
      </c>
      <c r="E75" s="78">
        <v>30</v>
      </c>
      <c r="F75" s="78">
        <v>31</v>
      </c>
      <c r="G75" s="111"/>
      <c r="H75" s="112"/>
      <c r="I75" s="71"/>
      <c r="J75" s="72"/>
      <c r="K75" s="72"/>
      <c r="L75" s="72"/>
      <c r="M75" s="72"/>
      <c r="N75" s="72"/>
      <c r="O75" s="72"/>
      <c r="P75" s="72"/>
    </row>
    <row r="76" spans="1:16">
      <c r="A76" s="71"/>
      <c r="B76" s="72"/>
      <c r="C76" s="72"/>
      <c r="D76" s="72"/>
      <c r="E76" s="72"/>
      <c r="F76" s="72"/>
      <c r="G76" s="72"/>
      <c r="H76" s="72"/>
      <c r="I76" s="71"/>
      <c r="J76" s="72"/>
      <c r="K76" s="72"/>
      <c r="L76" s="72"/>
      <c r="M76" s="72"/>
      <c r="N76" s="72"/>
      <c r="O76" s="72"/>
      <c r="P76" s="72"/>
    </row>
    <row r="77" spans="1:16">
      <c r="A77" s="71"/>
      <c r="B77" s="110" t="s">
        <v>134</v>
      </c>
      <c r="C77" s="110"/>
      <c r="D77" s="110"/>
      <c r="E77" s="110"/>
      <c r="F77" s="110"/>
      <c r="G77" s="110"/>
      <c r="H77" s="110"/>
      <c r="I77" s="71"/>
    </row>
    <row r="78" spans="1:16">
      <c r="A78" s="71"/>
      <c r="B78" s="73" t="s">
        <v>91</v>
      </c>
      <c r="C78" s="73" t="s">
        <v>123</v>
      </c>
      <c r="D78" s="73" t="s">
        <v>124</v>
      </c>
      <c r="E78" s="73" t="s">
        <v>125</v>
      </c>
      <c r="F78" s="73" t="s">
        <v>125</v>
      </c>
      <c r="G78" s="73" t="s">
        <v>123</v>
      </c>
      <c r="H78" s="73" t="s">
        <v>123</v>
      </c>
      <c r="I78" s="71"/>
    </row>
    <row r="79" spans="1:16">
      <c r="A79" s="71"/>
      <c r="B79" s="111"/>
      <c r="C79" s="112"/>
      <c r="D79" s="112"/>
      <c r="E79" s="112"/>
      <c r="F79" s="112"/>
      <c r="G79" s="76">
        <v>1</v>
      </c>
      <c r="H79" s="87">
        <v>2</v>
      </c>
      <c r="I79" s="71"/>
    </row>
    <row r="80" spans="1:16">
      <c r="A80" s="71"/>
      <c r="B80" s="77">
        <v>3</v>
      </c>
      <c r="C80" s="75">
        <v>4</v>
      </c>
      <c r="D80" s="88">
        <v>5</v>
      </c>
      <c r="E80" s="75">
        <v>6</v>
      </c>
      <c r="F80" s="75">
        <v>7</v>
      </c>
      <c r="G80" s="75">
        <v>8</v>
      </c>
      <c r="H80" s="77">
        <v>9</v>
      </c>
      <c r="I80" s="71"/>
    </row>
    <row r="81" spans="1:16">
      <c r="A81" s="71"/>
      <c r="B81" s="77">
        <v>10</v>
      </c>
      <c r="C81" s="75">
        <v>11</v>
      </c>
      <c r="D81" s="88">
        <v>12</v>
      </c>
      <c r="E81" s="75">
        <v>13</v>
      </c>
      <c r="F81" s="75">
        <v>14</v>
      </c>
      <c r="G81" s="87">
        <v>15</v>
      </c>
      <c r="H81" s="87">
        <v>16</v>
      </c>
      <c r="I81" s="71"/>
    </row>
    <row r="82" spans="1:16">
      <c r="A82" s="71"/>
      <c r="B82" s="77">
        <v>17</v>
      </c>
      <c r="C82" s="75">
        <v>18</v>
      </c>
      <c r="D82" s="88">
        <v>19</v>
      </c>
      <c r="E82" s="75">
        <v>20</v>
      </c>
      <c r="F82" s="75">
        <v>21</v>
      </c>
      <c r="G82" s="75">
        <v>22</v>
      </c>
      <c r="H82" s="77">
        <v>23</v>
      </c>
      <c r="I82" s="71"/>
    </row>
    <row r="83" spans="1:16">
      <c r="A83" s="71"/>
      <c r="B83" s="77">
        <v>24</v>
      </c>
      <c r="C83" s="75">
        <v>25</v>
      </c>
      <c r="D83" s="88">
        <v>26</v>
      </c>
      <c r="E83" s="75">
        <v>27</v>
      </c>
      <c r="F83" s="75">
        <v>28</v>
      </c>
      <c r="G83" s="75">
        <v>29</v>
      </c>
      <c r="H83" s="77">
        <v>30</v>
      </c>
      <c r="I83" s="71"/>
    </row>
    <row r="84" spans="1:16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</row>
    <row r="85" spans="1:16">
      <c r="B85" s="110" t="s">
        <v>135</v>
      </c>
      <c r="C85" s="110"/>
      <c r="D85" s="110"/>
      <c r="E85" s="110"/>
      <c r="F85" s="110"/>
      <c r="G85" s="110"/>
      <c r="H85" s="110"/>
    </row>
    <row r="86" spans="1:16">
      <c r="B86" s="73" t="s">
        <v>91</v>
      </c>
      <c r="C86" s="73" t="s">
        <v>123</v>
      </c>
      <c r="D86" s="73" t="s">
        <v>124</v>
      </c>
      <c r="E86" s="73" t="s">
        <v>125</v>
      </c>
      <c r="F86" s="73" t="s">
        <v>125</v>
      </c>
      <c r="G86" s="73" t="s">
        <v>123</v>
      </c>
      <c r="H86" s="73" t="s">
        <v>123</v>
      </c>
    </row>
    <row r="87" spans="1:16">
      <c r="B87" s="77">
        <v>1</v>
      </c>
      <c r="C87" s="75">
        <v>2</v>
      </c>
      <c r="D87" s="75">
        <v>3</v>
      </c>
      <c r="E87" s="75">
        <v>4</v>
      </c>
      <c r="F87" s="75">
        <v>5</v>
      </c>
      <c r="G87" s="75">
        <v>6</v>
      </c>
      <c r="H87" s="75">
        <v>7</v>
      </c>
    </row>
    <row r="88" spans="1:16">
      <c r="B88" s="77">
        <v>8</v>
      </c>
      <c r="C88" s="75">
        <v>9</v>
      </c>
      <c r="D88" s="75">
        <v>10</v>
      </c>
      <c r="E88" s="75">
        <v>11</v>
      </c>
      <c r="F88" s="75">
        <v>12</v>
      </c>
      <c r="G88" s="75">
        <v>13</v>
      </c>
      <c r="H88" s="77">
        <v>14</v>
      </c>
    </row>
    <row r="89" spans="1:16">
      <c r="B89" s="87">
        <v>15</v>
      </c>
      <c r="C89" s="87">
        <v>16</v>
      </c>
      <c r="D89" s="87">
        <v>17</v>
      </c>
      <c r="E89" s="87">
        <v>18</v>
      </c>
      <c r="F89" s="87">
        <v>19</v>
      </c>
      <c r="G89" s="87">
        <v>20</v>
      </c>
      <c r="H89" s="87">
        <v>21</v>
      </c>
    </row>
    <row r="90" spans="1:16">
      <c r="B90" s="87">
        <v>22</v>
      </c>
      <c r="C90" s="87">
        <v>23</v>
      </c>
      <c r="D90" s="87">
        <v>24</v>
      </c>
      <c r="E90" s="87">
        <v>25</v>
      </c>
      <c r="F90" s="87">
        <v>26</v>
      </c>
      <c r="G90" s="87">
        <v>27</v>
      </c>
      <c r="H90" s="87">
        <v>28</v>
      </c>
    </row>
    <row r="91" spans="1:16">
      <c r="B91" s="87">
        <v>29</v>
      </c>
      <c r="C91" s="87">
        <v>30</v>
      </c>
      <c r="D91" s="87">
        <v>31</v>
      </c>
      <c r="E91" s="111"/>
      <c r="F91" s="112"/>
      <c r="G91" s="112"/>
      <c r="H91" s="112"/>
    </row>
    <row r="92" spans="1:16">
      <c r="J92" t="s">
        <v>76</v>
      </c>
    </row>
    <row r="94" spans="1:16" ht="15" customHeight="1">
      <c r="A94" s="113" t="s">
        <v>82</v>
      </c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1:16" ht="28.5" customHeight="1">
      <c r="A95" s="113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</sheetData>
  <mergeCells count="28">
    <mergeCell ref="B28:H28"/>
    <mergeCell ref="B36:H36"/>
    <mergeCell ref="B1:P1"/>
    <mergeCell ref="B3:H3"/>
    <mergeCell ref="B5:F5"/>
    <mergeCell ref="G9:H9"/>
    <mergeCell ref="B11:H11"/>
    <mergeCell ref="B20:H20"/>
    <mergeCell ref="B13:F13"/>
    <mergeCell ref="E26:H26"/>
    <mergeCell ref="C18:H18"/>
    <mergeCell ref="G75:H75"/>
    <mergeCell ref="B30:D30"/>
    <mergeCell ref="B38:G38"/>
    <mergeCell ref="C43:H43"/>
    <mergeCell ref="B45:H45"/>
    <mergeCell ref="B53:H53"/>
    <mergeCell ref="B55:E55"/>
    <mergeCell ref="F51:H51"/>
    <mergeCell ref="B61:H61"/>
    <mergeCell ref="B69:H69"/>
    <mergeCell ref="B71:C71"/>
    <mergeCell ref="D67:H67"/>
    <mergeCell ref="B77:H77"/>
    <mergeCell ref="B85:H85"/>
    <mergeCell ref="B79:F79"/>
    <mergeCell ref="E91:H91"/>
    <mergeCell ref="A94:N9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AB50-B3C4-4C13-87FF-24CABEA019F2}">
  <sheetPr codeName="Planilha3"/>
  <dimension ref="A1:U19"/>
  <sheetViews>
    <sheetView zoomScale="85" zoomScaleNormal="85" workbookViewId="0">
      <selection activeCell="E2" sqref="E2"/>
    </sheetView>
  </sheetViews>
  <sheetFormatPr defaultRowHeight="15"/>
  <cols>
    <col min="1" max="1" width="18.85546875" bestFit="1" customWidth="1"/>
    <col min="2" max="2" width="3.28515625" customWidth="1"/>
    <col min="3" max="3" width="54.7109375" customWidth="1"/>
    <col min="4" max="4" width="4" customWidth="1"/>
    <col min="5" max="5" width="43.5703125" customWidth="1"/>
    <col min="6" max="6" width="2.5703125" customWidth="1"/>
    <col min="7" max="7" width="46" customWidth="1"/>
    <col min="9" max="9" width="12.28515625" bestFit="1" customWidth="1"/>
    <col min="14" max="14" width="12.42578125" bestFit="1" customWidth="1"/>
  </cols>
  <sheetData>
    <row r="1" spans="1:21" ht="21">
      <c r="A1" s="58" t="s">
        <v>85</v>
      </c>
      <c r="C1" s="59" t="s">
        <v>26</v>
      </c>
      <c r="E1" s="59" t="s">
        <v>36</v>
      </c>
      <c r="G1" s="59" t="s">
        <v>44</v>
      </c>
      <c r="I1" t="s">
        <v>87</v>
      </c>
      <c r="J1" t="s">
        <v>88</v>
      </c>
      <c r="L1" t="s">
        <v>89</v>
      </c>
      <c r="N1" t="s">
        <v>84</v>
      </c>
      <c r="O1" t="s">
        <v>97</v>
      </c>
      <c r="R1" s="37"/>
      <c r="S1" s="37"/>
      <c r="T1" s="53" t="s">
        <v>99</v>
      </c>
      <c r="U1" s="53" t="s">
        <v>100</v>
      </c>
    </row>
    <row r="2" spans="1:21" ht="60.75" thickBot="1">
      <c r="C2" s="60" t="s">
        <v>28</v>
      </c>
      <c r="E2" s="60" t="s">
        <v>38</v>
      </c>
      <c r="G2" s="60" t="s">
        <v>46</v>
      </c>
      <c r="I2">
        <v>2015</v>
      </c>
      <c r="J2">
        <v>200</v>
      </c>
      <c r="L2" t="s">
        <v>90</v>
      </c>
      <c r="N2">
        <v>1</v>
      </c>
      <c r="O2">
        <f>SUMIF('Formulário 2019'!H12:H30,"I",'Formulário 2019'!L12:L30)</f>
        <v>0</v>
      </c>
      <c r="R2" s="95" t="s">
        <v>92</v>
      </c>
      <c r="S2" s="95"/>
      <c r="T2" s="53">
        <v>0.3</v>
      </c>
      <c r="U2" s="53">
        <v>0.7</v>
      </c>
    </row>
    <row r="3" spans="1:21" ht="45.75" thickBot="1">
      <c r="A3" t="s">
        <v>5</v>
      </c>
      <c r="C3" s="60" t="s">
        <v>29</v>
      </c>
      <c r="E3" s="60" t="s">
        <v>39</v>
      </c>
      <c r="G3" s="60" t="s">
        <v>47</v>
      </c>
      <c r="I3">
        <v>2019</v>
      </c>
      <c r="J3">
        <v>150</v>
      </c>
      <c r="L3" t="s">
        <v>91</v>
      </c>
      <c r="N3">
        <v>2</v>
      </c>
      <c r="O3">
        <f>SUMIF('Formulário 2019'!H12:H30,"II",'Formulário 2019'!L12:L30)</f>
        <v>0</v>
      </c>
      <c r="R3" s="95" t="s">
        <v>93</v>
      </c>
      <c r="S3" s="95"/>
      <c r="T3" s="53">
        <v>0.15</v>
      </c>
      <c r="U3" s="53">
        <v>0.5</v>
      </c>
    </row>
    <row r="4" spans="1:21" ht="60.75" thickBot="1">
      <c r="A4" t="s">
        <v>7</v>
      </c>
      <c r="C4" s="60" t="s">
        <v>30</v>
      </c>
      <c r="E4" s="60" t="s">
        <v>40</v>
      </c>
      <c r="G4" s="60" t="s">
        <v>48</v>
      </c>
      <c r="I4" t="str">
        <f>(IF('Formulário 2019'!$H$12="I",Atividades!C4:C11,IF('Formulário 2019'!$H$12="II",Atividades!E4:E10,IF('Formulário 2019'!$H$12="","",Atividades!G4:G21))))</f>
        <v/>
      </c>
      <c r="N4">
        <v>3</v>
      </c>
      <c r="O4">
        <f>SUMIF('Formulário 2019'!H12:H30,"III",'Formulário 2019'!L12:L30)</f>
        <v>0</v>
      </c>
      <c r="R4" s="95" t="s">
        <v>94</v>
      </c>
      <c r="S4" s="95"/>
      <c r="T4" s="53">
        <v>0.15</v>
      </c>
      <c r="U4" s="53">
        <v>0.5</v>
      </c>
    </row>
    <row r="5" spans="1:21" ht="45.75" thickBot="1">
      <c r="A5" t="s">
        <v>8</v>
      </c>
      <c r="C5" s="60" t="s">
        <v>31</v>
      </c>
      <c r="E5" s="60" t="s">
        <v>41</v>
      </c>
      <c r="G5" s="60" t="s">
        <v>49</v>
      </c>
      <c r="I5" t="str">
        <f>(IF('Formulário 2019'!$H$12="I",Atividades!C5:C12,IF('Formulário 2019'!$H$12="II",Atividades!E5:E11,IF('Formulário 2019'!$H$12="","",Atividades!G5:G22))))</f>
        <v/>
      </c>
    </row>
    <row r="6" spans="1:21" ht="60.75" thickBot="1">
      <c r="C6" s="60" t="s">
        <v>32</v>
      </c>
      <c r="E6" s="60" t="s">
        <v>42</v>
      </c>
      <c r="G6" s="60" t="s">
        <v>50</v>
      </c>
      <c r="I6" t="str">
        <f>(IF('Formulário 2019'!$H$12="I",Atividades!C6:C13,IF('Formulário 2019'!$H$12="II",Atividades!E6:E12,IF('Formulário 2019'!$H$12="","",Atividades!G6:G23))))</f>
        <v/>
      </c>
    </row>
    <row r="7" spans="1:21" ht="30.75" thickBot="1">
      <c r="C7" s="60" t="s">
        <v>33</v>
      </c>
      <c r="E7" s="60" t="s">
        <v>43</v>
      </c>
      <c r="G7" s="60" t="s">
        <v>51</v>
      </c>
      <c r="I7" t="str">
        <f>(IF('Formulário 2019'!$H$12="I",Atividades!C7:C14,IF('Formulário 2019'!$H$12="II",Atividades!E7:E13,IF('Formulário 2019'!$H$12="","",Atividades!G7:G24))))</f>
        <v/>
      </c>
    </row>
    <row r="8" spans="1:21" ht="30.75" thickBot="1">
      <c r="A8" s="39"/>
      <c r="C8" s="60" t="s">
        <v>109</v>
      </c>
      <c r="E8" s="61" t="s">
        <v>35</v>
      </c>
      <c r="G8" s="60" t="s">
        <v>52</v>
      </c>
      <c r="I8" t="str">
        <f>(IF('Formulário 2019'!$H$12="I",Atividades!C8:C15,IF('Formulário 2019'!$H$12="II",Atividades!E8:E14,IF('Formulário 2019'!$H$12="","",Atividades!G8:G25))))</f>
        <v/>
      </c>
    </row>
    <row r="9" spans="1:21" ht="30.75" thickBot="1">
      <c r="C9" s="60" t="s">
        <v>35</v>
      </c>
      <c r="E9" s="62" t="s">
        <v>86</v>
      </c>
      <c r="G9" s="60" t="s">
        <v>53</v>
      </c>
      <c r="I9" t="str">
        <f>(IF('Formulário 2019'!$H$12="I",Atividades!C9:C16,IF('Formulário 2019'!$H$12="II",Atividades!E9:E15,IF('Formulário 2019'!$H$12="","",Atividades!G9:G26))))</f>
        <v/>
      </c>
    </row>
    <row r="10" spans="1:21" ht="15.75" thickBot="1">
      <c r="C10" s="62" t="s">
        <v>86</v>
      </c>
      <c r="E10" s="62" t="s">
        <v>86</v>
      </c>
      <c r="G10" s="60" t="s">
        <v>54</v>
      </c>
      <c r="I10" t="str">
        <f>(IF('Formulário 2019'!$H$12="I",Atividades!C10:C17,IF('Formulário 2019'!$H$12="II",Atividades!E10:E16,IF('Formulário 2019'!$H$12="","",Atividades!G10:G27))))</f>
        <v/>
      </c>
    </row>
    <row r="11" spans="1:21" ht="30.75" thickBot="1">
      <c r="C11" s="62" t="s">
        <v>86</v>
      </c>
      <c r="E11" s="62" t="s">
        <v>86</v>
      </c>
      <c r="G11" s="60" t="s">
        <v>55</v>
      </c>
      <c r="I11" t="str">
        <f>(IF('Formulário 2019'!$H$12="I",Atividades!C11:C18,IF('Formulário 2019'!$H$12="II",Atividades!E11:E17,IF('Formulário 2019'!$H$12="","",Atividades!G11:G28))))</f>
        <v/>
      </c>
    </row>
    <row r="12" spans="1:21" ht="15.75" thickBot="1">
      <c r="C12" s="62" t="s">
        <v>86</v>
      </c>
      <c r="E12" s="62" t="s">
        <v>86</v>
      </c>
      <c r="G12" s="60" t="s">
        <v>56</v>
      </c>
      <c r="I12" t="str">
        <f>(IF('Formulário 2019'!$H$12="I",Atividades!C12:C19,IF('Formulário 2019'!$H$12="II",Atividades!E12:E18,IF('Formulário 2019'!$H$12="","",Atividades!G12:G29))))</f>
        <v/>
      </c>
    </row>
    <row r="13" spans="1:21" ht="15.75" thickBot="1">
      <c r="C13" s="62" t="s">
        <v>86</v>
      </c>
      <c r="E13" s="62" t="s">
        <v>86</v>
      </c>
      <c r="G13" s="60" t="s">
        <v>57</v>
      </c>
      <c r="I13" t="str">
        <f>(IF('Formulário 2019'!$H$12="I",Atividades!C13:C20,IF('Formulário 2019'!$H$12="II",Atividades!E13:E19,IF('Formulário 2019'!$H$12="","",Atividades!G13:G30))))</f>
        <v/>
      </c>
    </row>
    <row r="14" spans="1:21" ht="45.75" thickBot="1">
      <c r="C14" s="62" t="s">
        <v>86</v>
      </c>
      <c r="E14" s="62" t="s">
        <v>86</v>
      </c>
      <c r="G14" s="60" t="s">
        <v>58</v>
      </c>
      <c r="I14" t="str">
        <f>(IF('Formulário 2019'!$H$12="I",Atividades!C14:C21,IF('Formulário 2019'!$H$12="II",Atividades!E14:E20,IF('Formulário 2019'!$H$12="","",Atividades!G14:G31))))</f>
        <v/>
      </c>
    </row>
    <row r="15" spans="1:21" ht="45.75" thickBot="1">
      <c r="C15" s="62" t="s">
        <v>86</v>
      </c>
      <c r="E15" s="62" t="s">
        <v>86</v>
      </c>
      <c r="G15" s="60" t="s">
        <v>59</v>
      </c>
      <c r="I15" t="str">
        <f>(IF('Formulário 2019'!$H$12="I",Atividades!C15:C22,IF('Formulário 2019'!$H$12="II",Atividades!E15:E21,IF('Formulário 2019'!$H$12="","",Atividades!G15:G32))))</f>
        <v/>
      </c>
    </row>
    <row r="16" spans="1:21" ht="30.75" thickBot="1">
      <c r="C16" s="62" t="s">
        <v>86</v>
      </c>
      <c r="E16" s="62" t="s">
        <v>86</v>
      </c>
      <c r="G16" s="60" t="s">
        <v>60</v>
      </c>
      <c r="I16" t="str">
        <f>(IF('Formulário 2019'!$H$12="I",Atividades!C16:C23,IF('Formulário 2019'!$H$12="II",Atividades!E16:E22,IF('Formulário 2019'!$H$12="","",Atividades!G16:G33))))</f>
        <v/>
      </c>
    </row>
    <row r="17" spans="3:9" ht="45.75" thickBot="1">
      <c r="C17" s="62" t="s">
        <v>86</v>
      </c>
      <c r="E17" s="62" t="s">
        <v>86</v>
      </c>
      <c r="G17" s="60" t="s">
        <v>61</v>
      </c>
      <c r="I17" t="str">
        <f>(IF('Formulário 2019'!$H$12="I",Atividades!C17:C24,IF('Formulário 2019'!$H$12="II",Atividades!E17:E23,IF('Formulário 2019'!$H$12="","",Atividades!G17:G34))))</f>
        <v/>
      </c>
    </row>
    <row r="18" spans="3:9" ht="60.75" thickBot="1">
      <c r="C18" s="62" t="s">
        <v>86</v>
      </c>
      <c r="E18" s="62" t="s">
        <v>86</v>
      </c>
      <c r="G18" s="60" t="s">
        <v>62</v>
      </c>
      <c r="I18" t="str">
        <f>(IF('Formulário 2019'!$H$12="I",Atividades!C18:C25,IF('Formulário 2019'!$H$12="II",Atividades!E18:E24,IF('Formulário 2019'!$H$12="","",Atividades!G18:G35))))</f>
        <v/>
      </c>
    </row>
    <row r="19" spans="3:9" ht="30.75" thickBot="1">
      <c r="C19" s="62" t="s">
        <v>86</v>
      </c>
      <c r="E19" s="62" t="s">
        <v>86</v>
      </c>
      <c r="G19" s="61" t="s">
        <v>35</v>
      </c>
      <c r="I19" t="str">
        <f>(IF('Formulário 2019'!$H$12="I",Atividades!C19:C26,IF('Formulário 2019'!$H$12="II",Atividades!E19:E25,IF('Formulário 2019'!$H$12="","",Atividades!G19:G36))))</f>
        <v/>
      </c>
    </row>
  </sheetData>
  <sheetProtection algorithmName="SHA-512" hashValue="PvJDd3fZacW/fqvjRcoNXnWToRzegQggIZNyUzG4erIPVQqslpbjfH9o0XllXXkltSGtYW5Tkn/F53Ugbp98pQ==" saltValue="xsx2EhjE0/w0v3wGXzSN7A==" spinCount="100000" sheet="1" objects="1" scenarios="1" selectLockedCells="1" selectUnlockedCells="1"/>
  <mergeCells count="3">
    <mergeCell ref="R2:S2"/>
    <mergeCell ref="R3:S3"/>
    <mergeCell ref="R4:S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J44"/>
  <sheetViews>
    <sheetView topLeftCell="A13" workbookViewId="0">
      <selection activeCell="A21" sqref="A21"/>
    </sheetView>
  </sheetViews>
  <sheetFormatPr defaultRowHeight="15"/>
  <cols>
    <col min="1" max="1" width="65.5703125" bestFit="1" customWidth="1"/>
  </cols>
  <sheetData>
    <row r="1" spans="1:10" ht="18">
      <c r="A1" s="122" t="s">
        <v>21</v>
      </c>
      <c r="B1" s="122"/>
      <c r="C1" s="122"/>
    </row>
    <row r="2" spans="1:10">
      <c r="A2" s="123" t="s">
        <v>17</v>
      </c>
      <c r="B2" s="123"/>
      <c r="C2" s="123"/>
    </row>
    <row r="3" spans="1:10" ht="15.75" thickBot="1">
      <c r="A3" s="126" t="s">
        <v>63</v>
      </c>
      <c r="B3" s="127"/>
      <c r="C3" s="127"/>
      <c r="D3" s="15"/>
      <c r="E3" s="15"/>
      <c r="F3" s="15"/>
      <c r="G3" s="15"/>
      <c r="H3" s="15"/>
      <c r="I3" s="15"/>
      <c r="J3" s="15"/>
    </row>
    <row r="4" spans="1:10" ht="42.75">
      <c r="A4" s="124" t="s">
        <v>22</v>
      </c>
      <c r="B4" s="8" t="s">
        <v>23</v>
      </c>
      <c r="C4" s="8" t="s">
        <v>25</v>
      </c>
    </row>
    <row r="5" spans="1:10" ht="15.75" thickBot="1">
      <c r="A5" s="125"/>
      <c r="B5" s="9" t="s">
        <v>24</v>
      </c>
      <c r="C5" s="9" t="s">
        <v>24</v>
      </c>
    </row>
    <row r="6" spans="1:10">
      <c r="A6" s="116" t="s">
        <v>26</v>
      </c>
      <c r="B6" s="117"/>
      <c r="C6" s="118"/>
    </row>
    <row r="7" spans="1:10" ht="15.75" thickBot="1">
      <c r="A7" s="119" t="s">
        <v>27</v>
      </c>
      <c r="B7" s="120"/>
      <c r="C7" s="121"/>
    </row>
    <row r="8" spans="1:10" ht="15.75" thickBot="1">
      <c r="A8" s="11" t="s">
        <v>28</v>
      </c>
      <c r="B8" s="12"/>
      <c r="C8" s="12"/>
    </row>
    <row r="9" spans="1:10" ht="30.75" thickBot="1">
      <c r="A9" s="11" t="s">
        <v>29</v>
      </c>
      <c r="B9" s="12"/>
      <c r="C9" s="12"/>
    </row>
    <row r="10" spans="1:10" ht="15.75" thickBot="1">
      <c r="A10" s="11" t="s">
        <v>30</v>
      </c>
      <c r="B10" s="12"/>
      <c r="C10" s="12"/>
    </row>
    <row r="11" spans="1:10" ht="15.75" thickBot="1">
      <c r="A11" s="11" t="s">
        <v>31</v>
      </c>
      <c r="B11" s="12"/>
      <c r="C11" s="12"/>
    </row>
    <row r="12" spans="1:10" ht="30.75" thickBot="1">
      <c r="A12" s="11" t="s">
        <v>32</v>
      </c>
      <c r="B12" s="12"/>
      <c r="C12" s="12"/>
    </row>
    <row r="13" spans="1:10" ht="15.75" thickBot="1">
      <c r="A13" s="11" t="s">
        <v>33</v>
      </c>
      <c r="B13" s="12"/>
      <c r="C13" s="12"/>
    </row>
    <row r="14" spans="1:10" ht="15.75" thickBot="1">
      <c r="A14" s="11" t="s">
        <v>34</v>
      </c>
      <c r="B14" s="12"/>
      <c r="C14" s="12"/>
    </row>
    <row r="15" spans="1:10" ht="15.75" thickBot="1">
      <c r="A15" s="11" t="s">
        <v>35</v>
      </c>
      <c r="B15" s="12"/>
      <c r="C15" s="12"/>
    </row>
    <row r="16" spans="1:10">
      <c r="A16" s="116" t="s">
        <v>36</v>
      </c>
      <c r="B16" s="117"/>
      <c r="C16" s="118"/>
    </row>
    <row r="17" spans="1:3" ht="15.75" thickBot="1">
      <c r="A17" s="119" t="s">
        <v>37</v>
      </c>
      <c r="B17" s="120"/>
      <c r="C17" s="121"/>
    </row>
    <row r="18" spans="1:3" ht="45.75" thickBot="1">
      <c r="A18" s="11" t="s">
        <v>38</v>
      </c>
      <c r="B18" s="12"/>
      <c r="C18" s="12"/>
    </row>
    <row r="19" spans="1:3" ht="30.75" thickBot="1">
      <c r="A19" s="11" t="s">
        <v>39</v>
      </c>
      <c r="B19" s="12"/>
      <c r="C19" s="12"/>
    </row>
    <row r="20" spans="1:3" ht="45.75" thickBot="1">
      <c r="A20" s="11" t="s">
        <v>40</v>
      </c>
      <c r="B20" s="12"/>
      <c r="C20" s="12"/>
    </row>
    <row r="21" spans="1:3" ht="30.75" thickBot="1">
      <c r="A21" s="11" t="s">
        <v>41</v>
      </c>
      <c r="B21" s="12"/>
      <c r="C21" s="12"/>
    </row>
    <row r="22" spans="1:3" ht="15.75" thickBot="1">
      <c r="A22" s="11" t="s">
        <v>42</v>
      </c>
      <c r="B22" s="12"/>
      <c r="C22" s="12"/>
    </row>
    <row r="23" spans="1:3" ht="15.75" thickBot="1">
      <c r="A23" s="11" t="s">
        <v>43</v>
      </c>
      <c r="B23" s="13"/>
      <c r="C23" s="13"/>
    </row>
    <row r="24" spans="1:3" ht="15.75" thickBot="1">
      <c r="A24" s="14" t="s">
        <v>35</v>
      </c>
      <c r="B24" s="12"/>
      <c r="C24" s="13"/>
    </row>
    <row r="25" spans="1:3">
      <c r="A25" s="116" t="s">
        <v>44</v>
      </c>
      <c r="B25" s="117"/>
      <c r="C25" s="118"/>
    </row>
    <row r="26" spans="1:3" ht="26.25" customHeight="1" thickBot="1">
      <c r="A26" s="119" t="s">
        <v>45</v>
      </c>
      <c r="B26" s="120"/>
      <c r="C26" s="121"/>
    </row>
    <row r="27" spans="1:3" ht="15.75" thickBot="1">
      <c r="A27" s="11" t="s">
        <v>46</v>
      </c>
      <c r="B27" s="12"/>
      <c r="C27" s="12"/>
    </row>
    <row r="28" spans="1:3" ht="30.75" thickBot="1">
      <c r="A28" s="11" t="s">
        <v>47</v>
      </c>
      <c r="B28" s="12"/>
      <c r="C28" s="12"/>
    </row>
    <row r="29" spans="1:3" ht="30.75" thickBot="1">
      <c r="A29" s="11" t="s">
        <v>48</v>
      </c>
      <c r="B29" s="12"/>
      <c r="C29" s="12"/>
    </row>
    <row r="30" spans="1:3" ht="30.75" thickBot="1">
      <c r="A30" s="11" t="s">
        <v>49</v>
      </c>
      <c r="B30" s="12"/>
      <c r="C30" s="12"/>
    </row>
    <row r="31" spans="1:3" ht="45.75" thickBot="1">
      <c r="A31" s="11" t="s">
        <v>50</v>
      </c>
      <c r="B31" s="12"/>
      <c r="C31" s="12"/>
    </row>
    <row r="32" spans="1:3" ht="15.75" thickBot="1">
      <c r="A32" s="11" t="s">
        <v>51</v>
      </c>
      <c r="B32" s="10"/>
      <c r="C32" s="12"/>
    </row>
    <row r="33" spans="1:3" ht="15.75" thickBot="1">
      <c r="A33" s="11" t="s">
        <v>52</v>
      </c>
      <c r="B33" s="12"/>
      <c r="C33" s="12"/>
    </row>
    <row r="34" spans="1:3" ht="15.75" thickBot="1">
      <c r="A34" s="11" t="s">
        <v>53</v>
      </c>
      <c r="B34" s="12"/>
      <c r="C34" s="12"/>
    </row>
    <row r="35" spans="1:3" ht="15.75" thickBot="1">
      <c r="A35" s="11" t="s">
        <v>54</v>
      </c>
      <c r="B35" s="12"/>
      <c r="C35" s="12"/>
    </row>
    <row r="36" spans="1:3" ht="15.75" thickBot="1">
      <c r="A36" s="11" t="s">
        <v>55</v>
      </c>
      <c r="B36" s="12"/>
      <c r="C36" s="12"/>
    </row>
    <row r="37" spans="1:3" ht="15.75" thickBot="1">
      <c r="A37" s="11" t="s">
        <v>56</v>
      </c>
      <c r="B37" s="12"/>
      <c r="C37" s="12"/>
    </row>
    <row r="38" spans="1:3" ht="15.75" thickBot="1">
      <c r="A38" s="11" t="s">
        <v>57</v>
      </c>
      <c r="B38" s="12"/>
      <c r="C38" s="12"/>
    </row>
    <row r="39" spans="1:3" ht="30.75" thickBot="1">
      <c r="A39" s="11" t="s">
        <v>58</v>
      </c>
      <c r="B39" s="12"/>
      <c r="C39" s="10"/>
    </row>
    <row r="40" spans="1:3" ht="30.75" thickBot="1">
      <c r="A40" s="11" t="s">
        <v>59</v>
      </c>
      <c r="B40" s="12"/>
      <c r="C40" s="12"/>
    </row>
    <row r="41" spans="1:3" ht="30.75" thickBot="1">
      <c r="A41" s="11" t="s">
        <v>60</v>
      </c>
      <c r="B41" s="12"/>
      <c r="C41" s="12"/>
    </row>
    <row r="42" spans="1:3" ht="30.75" thickBot="1">
      <c r="A42" s="11" t="s">
        <v>61</v>
      </c>
      <c r="B42" s="12"/>
      <c r="C42" s="12"/>
    </row>
    <row r="43" spans="1:3" ht="45.75" thickBot="1">
      <c r="A43" s="11" t="s">
        <v>62</v>
      </c>
      <c r="B43" s="12"/>
      <c r="C43" s="12"/>
    </row>
    <row r="44" spans="1:3" ht="15.75" thickBot="1">
      <c r="A44" s="14" t="s">
        <v>35</v>
      </c>
      <c r="B44" s="12"/>
      <c r="C44" s="12"/>
    </row>
  </sheetData>
  <mergeCells count="10">
    <mergeCell ref="A25:C25"/>
    <mergeCell ref="A26:C26"/>
    <mergeCell ref="A6:C6"/>
    <mergeCell ref="A7:C7"/>
    <mergeCell ref="A1:C1"/>
    <mergeCell ref="A2:C2"/>
    <mergeCell ref="A4:A5"/>
    <mergeCell ref="A16:C16"/>
    <mergeCell ref="A17:C17"/>
    <mergeCell ref="A3:C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2B89D-F6BA-4DE5-9D32-4C4A5B310963}">
  <dimension ref="A1:J9"/>
  <sheetViews>
    <sheetView tabSelected="1" workbookViewId="0">
      <selection activeCell="A3" sqref="A3:I3"/>
    </sheetView>
  </sheetViews>
  <sheetFormatPr defaultRowHeight="15"/>
  <sheetData>
    <row r="1" spans="1:10" ht="18.75">
      <c r="A1" s="128" t="s">
        <v>142</v>
      </c>
      <c r="B1" s="128"/>
      <c r="C1" s="128"/>
      <c r="D1" s="128"/>
      <c r="E1" s="128"/>
      <c r="F1" s="128"/>
      <c r="G1" s="128"/>
      <c r="H1" s="128"/>
      <c r="I1" s="128"/>
    </row>
    <row r="2" spans="1:10" ht="15.75" thickBot="1"/>
    <row r="3" spans="1:10" ht="57.75" customHeight="1" thickTop="1" thickBot="1">
      <c r="A3" s="138" t="s">
        <v>145</v>
      </c>
      <c r="B3" s="138"/>
      <c r="C3" s="138"/>
      <c r="D3" s="138"/>
      <c r="E3" s="138"/>
      <c r="F3" s="138"/>
      <c r="G3" s="138"/>
      <c r="H3" s="138"/>
      <c r="I3" s="138"/>
    </row>
    <row r="4" spans="1:10" ht="24.75" customHeight="1" thickTop="1" thickBot="1">
      <c r="A4" s="139" t="s">
        <v>143</v>
      </c>
      <c r="B4" s="139"/>
      <c r="C4" s="139"/>
      <c r="D4" s="139"/>
      <c r="E4" s="139"/>
      <c r="F4" s="139"/>
      <c r="G4" s="139"/>
      <c r="H4" s="139"/>
      <c r="I4" s="139"/>
    </row>
    <row r="5" spans="1:10" ht="39" customHeight="1" thickTop="1" thickBot="1">
      <c r="A5" s="138" t="s">
        <v>144</v>
      </c>
      <c r="B5" s="138"/>
      <c r="C5" s="138"/>
      <c r="D5" s="138"/>
      <c r="E5" s="138"/>
      <c r="F5" s="138"/>
      <c r="G5" s="138"/>
      <c r="H5" s="138"/>
      <c r="I5" s="138"/>
    </row>
    <row r="6" spans="1:10" ht="15.75" thickTop="1">
      <c r="G6" s="136"/>
    </row>
    <row r="7" spans="1:10">
      <c r="J7" s="135"/>
    </row>
    <row r="8" spans="1:10" ht="15.75" thickBot="1"/>
    <row r="9" spans="1:10">
      <c r="I9" s="137"/>
    </row>
  </sheetData>
  <mergeCells count="4">
    <mergeCell ref="A1:I1"/>
    <mergeCell ref="A3:I3"/>
    <mergeCell ref="A4:I4"/>
    <mergeCell ref="A5:I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631D-D33A-4D4E-8016-FBEDA10C0581}">
  <sheetPr codeName="Planilha5"/>
  <dimension ref="A1:P96"/>
  <sheetViews>
    <sheetView workbookViewId="0">
      <selection activeCell="U10" sqref="U10"/>
    </sheetView>
  </sheetViews>
  <sheetFormatPr defaultRowHeight="15"/>
  <cols>
    <col min="1" max="7" width="4" customWidth="1"/>
    <col min="8" max="8" width="4.42578125" customWidth="1"/>
    <col min="16" max="16" width="9.140625" customWidth="1"/>
  </cols>
  <sheetData>
    <row r="1" spans="1:16">
      <c r="H1" s="32" t="s">
        <v>120</v>
      </c>
    </row>
    <row r="2" spans="1:16" ht="10.5" customHeight="1">
      <c r="A2" s="17"/>
      <c r="B2" s="17"/>
      <c r="C2" s="131"/>
      <c r="D2" s="131"/>
      <c r="E2" s="131"/>
      <c r="F2" s="131"/>
      <c r="G2" s="131"/>
      <c r="H2" s="130"/>
      <c r="I2" s="130"/>
      <c r="J2" s="130"/>
      <c r="K2" s="130"/>
      <c r="L2" s="130"/>
      <c r="M2" s="130"/>
      <c r="N2" s="130"/>
      <c r="O2" s="34"/>
      <c r="P2" s="34"/>
    </row>
    <row r="3" spans="1:16" ht="13.5" customHeight="1">
      <c r="A3" s="31"/>
      <c r="B3" s="19" t="s">
        <v>110</v>
      </c>
      <c r="C3" s="16"/>
      <c r="D3" s="16"/>
      <c r="E3" s="16"/>
      <c r="F3" s="16"/>
      <c r="G3" s="16"/>
      <c r="H3" s="33"/>
      <c r="I3" s="129" t="s">
        <v>75</v>
      </c>
      <c r="J3" s="129"/>
      <c r="K3" s="129"/>
      <c r="L3" s="129"/>
      <c r="M3" s="129"/>
      <c r="N3" s="129"/>
      <c r="O3" s="34"/>
      <c r="P3" s="34"/>
    </row>
    <row r="4" spans="1:16">
      <c r="A4" s="23" t="s">
        <v>66</v>
      </c>
      <c r="B4" s="24" t="s">
        <v>67</v>
      </c>
      <c r="C4" s="23" t="s">
        <v>68</v>
      </c>
      <c r="D4" s="24" t="s">
        <v>69</v>
      </c>
      <c r="E4" s="23" t="s">
        <v>70</v>
      </c>
      <c r="F4" s="24" t="s">
        <v>71</v>
      </c>
      <c r="G4" s="23" t="s">
        <v>72</v>
      </c>
      <c r="H4" s="34"/>
      <c r="I4" s="129"/>
      <c r="J4" s="129"/>
      <c r="K4" s="129"/>
      <c r="L4" s="129"/>
      <c r="M4" s="129"/>
      <c r="N4" s="129"/>
      <c r="O4" s="34"/>
      <c r="P4" s="34"/>
    </row>
    <row r="5" spans="1:16">
      <c r="A5" s="20"/>
      <c r="B5" s="20"/>
      <c r="C5" s="20"/>
      <c r="D5" s="70"/>
      <c r="E5" s="20">
        <v>1</v>
      </c>
      <c r="F5" s="20">
        <v>2</v>
      </c>
      <c r="G5" s="20">
        <v>3</v>
      </c>
      <c r="H5" s="35" t="s">
        <v>119</v>
      </c>
      <c r="I5" s="34"/>
      <c r="J5" s="34"/>
      <c r="K5" s="34"/>
      <c r="L5" s="34"/>
      <c r="M5" s="34"/>
      <c r="N5" s="34"/>
      <c r="O5" s="34"/>
      <c r="P5" s="34"/>
    </row>
    <row r="6" spans="1:16">
      <c r="A6" s="20">
        <v>4</v>
      </c>
      <c r="B6" s="67">
        <v>5</v>
      </c>
      <c r="C6" s="20">
        <v>6</v>
      </c>
      <c r="D6" s="20">
        <v>7</v>
      </c>
      <c r="E6" s="20">
        <v>8</v>
      </c>
      <c r="F6" s="20">
        <v>9</v>
      </c>
      <c r="G6" s="20">
        <v>10</v>
      </c>
      <c r="H6" s="35" t="s">
        <v>121</v>
      </c>
      <c r="I6" s="34"/>
      <c r="J6" s="34"/>
      <c r="K6" s="34"/>
      <c r="L6" s="34"/>
      <c r="M6" s="34"/>
      <c r="N6" s="34"/>
      <c r="O6" s="34"/>
      <c r="P6" s="34"/>
    </row>
    <row r="7" spans="1:16">
      <c r="A7" s="20">
        <v>11</v>
      </c>
      <c r="B7" s="20">
        <v>12</v>
      </c>
      <c r="C7" s="20">
        <v>13</v>
      </c>
      <c r="D7" s="20">
        <v>14</v>
      </c>
      <c r="E7" s="20">
        <v>15</v>
      </c>
      <c r="F7" s="20">
        <v>16</v>
      </c>
      <c r="G7" s="20">
        <v>17</v>
      </c>
      <c r="H7" s="35" t="s">
        <v>74</v>
      </c>
      <c r="I7" s="34"/>
      <c r="J7" s="34"/>
      <c r="K7" s="34"/>
      <c r="L7" s="34"/>
      <c r="M7" s="34"/>
      <c r="N7" s="34"/>
      <c r="O7" s="34"/>
      <c r="P7" s="34"/>
    </row>
    <row r="8" spans="1:16">
      <c r="A8" s="68">
        <v>18</v>
      </c>
      <c r="B8" s="20">
        <v>19</v>
      </c>
      <c r="C8" s="20">
        <v>20</v>
      </c>
      <c r="D8" s="20">
        <v>21</v>
      </c>
      <c r="E8" s="20">
        <v>22</v>
      </c>
      <c r="F8" s="20">
        <v>23</v>
      </c>
      <c r="G8" s="20">
        <v>24</v>
      </c>
      <c r="H8" s="35" t="s">
        <v>73</v>
      </c>
      <c r="I8" s="34"/>
      <c r="J8" s="34"/>
      <c r="K8" s="34"/>
      <c r="L8" s="34"/>
      <c r="M8" s="34"/>
      <c r="N8" s="34"/>
      <c r="O8" s="34"/>
      <c r="P8" s="34"/>
    </row>
    <row r="9" spans="1:16">
      <c r="A9" s="20">
        <v>25</v>
      </c>
      <c r="B9" s="20">
        <v>26</v>
      </c>
      <c r="C9" s="20">
        <v>27</v>
      </c>
      <c r="D9" s="20">
        <v>28</v>
      </c>
      <c r="E9" s="69"/>
      <c r="F9" s="65"/>
      <c r="G9" s="65"/>
      <c r="H9" s="130" t="s">
        <v>81</v>
      </c>
      <c r="I9" s="130"/>
      <c r="J9" s="130"/>
      <c r="K9" s="130"/>
      <c r="L9" s="130"/>
      <c r="M9" s="130"/>
      <c r="N9" s="130"/>
      <c r="O9" s="34"/>
      <c r="P9" s="34"/>
    </row>
    <row r="10" spans="1:16" ht="12" customHeight="1">
      <c r="A10" s="17"/>
      <c r="B10" s="17"/>
      <c r="C10" s="131"/>
      <c r="D10" s="131"/>
      <c r="E10" s="131"/>
      <c r="F10" s="131"/>
      <c r="G10" s="131"/>
      <c r="H10" s="130"/>
      <c r="I10" s="130"/>
      <c r="J10" s="130"/>
      <c r="K10" s="130"/>
      <c r="L10" s="130"/>
      <c r="M10" s="130"/>
      <c r="N10" s="130"/>
      <c r="O10" s="34"/>
      <c r="P10" s="34"/>
    </row>
    <row r="11" spans="1:16" ht="16.5" customHeight="1">
      <c r="A11" s="31"/>
      <c r="B11" s="19" t="s">
        <v>111</v>
      </c>
      <c r="C11" s="18"/>
      <c r="D11" s="16"/>
      <c r="E11" s="16"/>
      <c r="F11" s="16"/>
      <c r="G11" s="16"/>
      <c r="H11" s="34"/>
      <c r="I11" s="34"/>
      <c r="J11" s="34"/>
      <c r="K11" s="34"/>
      <c r="L11" s="34"/>
      <c r="M11" s="34"/>
      <c r="N11" s="34"/>
      <c r="O11" s="34"/>
      <c r="P11" s="34"/>
    </row>
    <row r="12" spans="1:16">
      <c r="A12" s="23" t="s">
        <v>66</v>
      </c>
      <c r="B12" s="24" t="s">
        <v>67</v>
      </c>
      <c r="C12" s="23" t="s">
        <v>68</v>
      </c>
      <c r="D12" s="24" t="s">
        <v>69</v>
      </c>
      <c r="E12" s="23" t="s">
        <v>70</v>
      </c>
      <c r="F12" s="24" t="s">
        <v>71</v>
      </c>
      <c r="G12" s="23" t="s">
        <v>72</v>
      </c>
      <c r="H12" s="34"/>
      <c r="I12" s="34"/>
      <c r="J12" s="34"/>
      <c r="K12" s="34"/>
      <c r="L12" s="34"/>
      <c r="M12" s="34"/>
      <c r="N12" s="34"/>
      <c r="O12" s="34"/>
      <c r="P12" s="34"/>
    </row>
    <row r="13" spans="1:16">
      <c r="A13" s="20"/>
      <c r="B13" s="20"/>
      <c r="C13" s="20"/>
      <c r="D13" s="20"/>
      <c r="E13" s="20">
        <v>1</v>
      </c>
      <c r="F13" s="20">
        <v>2</v>
      </c>
      <c r="G13" s="20">
        <v>3</v>
      </c>
      <c r="H13" s="34"/>
      <c r="I13" s="34"/>
      <c r="J13" s="34"/>
      <c r="K13" s="34"/>
      <c r="L13" s="34"/>
      <c r="M13" s="34"/>
      <c r="N13" s="34"/>
      <c r="O13" s="34"/>
      <c r="P13" s="34"/>
    </row>
    <row r="14" spans="1:16">
      <c r="A14" s="29">
        <v>4</v>
      </c>
      <c r="B14" s="29">
        <v>5</v>
      </c>
      <c r="C14" s="29">
        <v>6</v>
      </c>
      <c r="D14" s="29">
        <v>7</v>
      </c>
      <c r="E14" s="29">
        <v>8</v>
      </c>
      <c r="F14" s="29">
        <v>9</v>
      </c>
      <c r="G14" s="29">
        <v>10</v>
      </c>
      <c r="H14" s="133" t="s">
        <v>80</v>
      </c>
      <c r="I14" s="130"/>
      <c r="J14" s="130"/>
      <c r="K14" s="130"/>
      <c r="L14" s="130"/>
      <c r="M14" s="130"/>
      <c r="N14" s="130"/>
      <c r="O14" s="34"/>
      <c r="P14" s="34"/>
    </row>
    <row r="15" spans="1:16">
      <c r="A15" s="26">
        <v>11</v>
      </c>
      <c r="B15" s="20">
        <v>12</v>
      </c>
      <c r="C15" s="26">
        <v>13</v>
      </c>
      <c r="D15" s="20">
        <v>14</v>
      </c>
      <c r="E15" s="26">
        <v>15</v>
      </c>
      <c r="F15" s="20">
        <v>16</v>
      </c>
      <c r="G15" s="26">
        <v>17</v>
      </c>
      <c r="H15" s="133"/>
      <c r="I15" s="130"/>
      <c r="J15" s="130"/>
      <c r="K15" s="130"/>
      <c r="L15" s="130"/>
      <c r="M15" s="130"/>
      <c r="N15" s="130"/>
      <c r="O15" s="34"/>
      <c r="P15" s="34"/>
    </row>
    <row r="16" spans="1:16">
      <c r="A16" s="20">
        <v>18</v>
      </c>
      <c r="B16" s="20">
        <v>19</v>
      </c>
      <c r="C16" s="20">
        <v>20</v>
      </c>
      <c r="D16" s="20">
        <v>21</v>
      </c>
      <c r="E16" s="20">
        <v>22</v>
      </c>
      <c r="F16" s="20">
        <v>23</v>
      </c>
      <c r="G16" s="20">
        <v>24</v>
      </c>
      <c r="H16" s="36" t="s">
        <v>79</v>
      </c>
      <c r="I16" s="34"/>
      <c r="J16" s="34"/>
      <c r="K16" s="34"/>
      <c r="L16" s="34"/>
      <c r="M16" s="34"/>
      <c r="N16" s="34"/>
      <c r="O16" s="34"/>
      <c r="P16" s="34"/>
    </row>
    <row r="17" spans="1:16">
      <c r="A17" s="20">
        <v>25</v>
      </c>
      <c r="B17" s="20">
        <v>26</v>
      </c>
      <c r="C17" s="20">
        <v>27</v>
      </c>
      <c r="D17" s="20">
        <v>28</v>
      </c>
      <c r="E17" s="20">
        <v>29</v>
      </c>
      <c r="F17" s="20">
        <v>30</v>
      </c>
      <c r="G17" s="20">
        <v>31</v>
      </c>
      <c r="H17" s="134" t="s">
        <v>78</v>
      </c>
      <c r="I17" s="134"/>
      <c r="J17" s="134"/>
      <c r="K17" s="134"/>
      <c r="L17" s="134"/>
      <c r="M17" s="134"/>
      <c r="N17" s="134"/>
      <c r="O17" s="34"/>
      <c r="P17" s="34"/>
    </row>
    <row r="18" spans="1:16" ht="12" customHeight="1">
      <c r="O18" s="34"/>
      <c r="P18" s="34"/>
    </row>
    <row r="19" spans="1:16" ht="15.75" customHeight="1">
      <c r="B19" s="19" t="s">
        <v>112</v>
      </c>
      <c r="O19" s="34"/>
      <c r="P19" s="34"/>
    </row>
    <row r="20" spans="1:16" ht="12" customHeight="1">
      <c r="A20" s="23" t="s">
        <v>66</v>
      </c>
      <c r="B20" s="24" t="s">
        <v>67</v>
      </c>
      <c r="C20" s="23" t="s">
        <v>68</v>
      </c>
      <c r="D20" s="24" t="s">
        <v>69</v>
      </c>
      <c r="E20" s="23" t="s">
        <v>70</v>
      </c>
      <c r="F20" s="24" t="s">
        <v>71</v>
      </c>
      <c r="G20" s="23" t="s">
        <v>72</v>
      </c>
      <c r="O20" s="34"/>
      <c r="P20" s="34"/>
    </row>
    <row r="21" spans="1:16" ht="12" customHeight="1">
      <c r="A21" s="20">
        <v>1</v>
      </c>
      <c r="B21" s="20">
        <v>2</v>
      </c>
      <c r="C21" s="20">
        <v>3</v>
      </c>
      <c r="D21" s="20">
        <v>4</v>
      </c>
      <c r="E21" s="20">
        <v>5</v>
      </c>
      <c r="F21" s="20">
        <v>6</v>
      </c>
      <c r="G21" s="20">
        <v>7</v>
      </c>
      <c r="O21" s="34"/>
      <c r="P21" s="34"/>
    </row>
    <row r="22" spans="1:16" ht="12" customHeight="1">
      <c r="A22" s="29">
        <v>8</v>
      </c>
      <c r="B22" s="29">
        <v>9</v>
      </c>
      <c r="C22" s="29">
        <v>10</v>
      </c>
      <c r="D22" s="29">
        <v>11</v>
      </c>
      <c r="E22" s="29">
        <v>12</v>
      </c>
      <c r="F22" s="29">
        <v>13</v>
      </c>
      <c r="G22" s="29">
        <v>14</v>
      </c>
      <c r="O22" s="34"/>
      <c r="P22" s="34"/>
    </row>
    <row r="23" spans="1:16" ht="12" customHeight="1">
      <c r="A23" s="26">
        <v>15</v>
      </c>
      <c r="B23" s="26">
        <v>16</v>
      </c>
      <c r="C23" s="26">
        <v>17</v>
      </c>
      <c r="D23" s="26">
        <v>18</v>
      </c>
      <c r="E23" s="26">
        <v>19</v>
      </c>
      <c r="F23" s="26">
        <v>20</v>
      </c>
      <c r="G23" s="26">
        <v>21</v>
      </c>
      <c r="O23" s="34"/>
      <c r="P23" s="34"/>
    </row>
    <row r="24" spans="1:16" ht="12" customHeight="1">
      <c r="A24" s="20">
        <v>22</v>
      </c>
      <c r="B24" s="20">
        <v>23</v>
      </c>
      <c r="C24" s="20">
        <v>24</v>
      </c>
      <c r="D24" s="20">
        <v>25</v>
      </c>
      <c r="E24" s="20">
        <v>26</v>
      </c>
      <c r="F24" s="20">
        <v>27</v>
      </c>
      <c r="G24" s="20">
        <v>28</v>
      </c>
      <c r="O24" s="34"/>
      <c r="P24" s="34"/>
    </row>
    <row r="25" spans="1:16" ht="12" customHeight="1">
      <c r="A25" s="20">
        <v>29</v>
      </c>
      <c r="B25" s="20">
        <v>30</v>
      </c>
      <c r="C25" s="20"/>
      <c r="D25" s="20"/>
      <c r="E25" s="20"/>
      <c r="F25" s="20"/>
      <c r="G25" s="20"/>
      <c r="O25" s="34"/>
      <c r="P25" s="34"/>
    </row>
    <row r="26" spans="1:16" ht="12" customHeight="1">
      <c r="O26" s="34"/>
      <c r="P26" s="34"/>
    </row>
    <row r="27" spans="1:16" ht="18.75">
      <c r="B27" s="19" t="s">
        <v>113</v>
      </c>
    </row>
    <row r="28" spans="1:16">
      <c r="A28" s="23" t="s">
        <v>66</v>
      </c>
      <c r="B28" s="24" t="s">
        <v>67</v>
      </c>
      <c r="C28" s="23" t="s">
        <v>68</v>
      </c>
      <c r="D28" s="24" t="s">
        <v>69</v>
      </c>
      <c r="E28" s="23" t="s">
        <v>70</v>
      </c>
      <c r="F28" s="24" t="s">
        <v>71</v>
      </c>
      <c r="G28" s="23" t="s">
        <v>72</v>
      </c>
    </row>
    <row r="29" spans="1:16">
      <c r="A29" s="22"/>
      <c r="B29" s="22"/>
      <c r="C29" s="22">
        <v>1</v>
      </c>
      <c r="D29" s="22">
        <v>2</v>
      </c>
      <c r="E29" s="22">
        <v>3</v>
      </c>
      <c r="F29" s="22">
        <v>4</v>
      </c>
      <c r="G29" s="22">
        <v>5</v>
      </c>
    </row>
    <row r="30" spans="1:16">
      <c r="A30" s="20">
        <v>6</v>
      </c>
      <c r="B30" s="20">
        <v>7</v>
      </c>
      <c r="C30" s="20">
        <v>8</v>
      </c>
      <c r="D30" s="20">
        <v>9</v>
      </c>
      <c r="E30" s="20">
        <v>10</v>
      </c>
      <c r="F30" s="20">
        <v>11</v>
      </c>
      <c r="G30" s="20">
        <v>12</v>
      </c>
    </row>
    <row r="31" spans="1:16">
      <c r="A31" s="20">
        <v>13</v>
      </c>
      <c r="B31" s="20">
        <v>14</v>
      </c>
      <c r="C31" s="20">
        <v>15</v>
      </c>
      <c r="D31" s="20">
        <v>16</v>
      </c>
      <c r="E31" s="20">
        <v>17</v>
      </c>
      <c r="F31" s="20">
        <v>18</v>
      </c>
      <c r="G31" s="20">
        <v>19</v>
      </c>
    </row>
    <row r="32" spans="1:16">
      <c r="A32" s="20">
        <v>20</v>
      </c>
      <c r="B32" s="20">
        <v>21</v>
      </c>
      <c r="C32" s="20">
        <v>22</v>
      </c>
      <c r="D32" s="20">
        <v>23</v>
      </c>
      <c r="E32" s="20">
        <v>24</v>
      </c>
      <c r="F32" s="20">
        <v>25</v>
      </c>
      <c r="G32" s="20">
        <v>26</v>
      </c>
    </row>
    <row r="33" spans="1:7">
      <c r="A33" s="20">
        <v>27</v>
      </c>
      <c r="B33" s="20">
        <v>28</v>
      </c>
      <c r="C33" s="20">
        <v>29</v>
      </c>
      <c r="D33" s="20">
        <v>30</v>
      </c>
      <c r="E33" s="20">
        <v>31</v>
      </c>
      <c r="F33" s="21"/>
      <c r="G33" s="21"/>
    </row>
    <row r="34" spans="1:7">
      <c r="A34" s="65"/>
      <c r="B34" s="65"/>
      <c r="C34" s="66"/>
      <c r="D34" s="66"/>
      <c r="E34" s="66"/>
      <c r="F34" s="66"/>
      <c r="G34" s="66"/>
    </row>
    <row r="35" spans="1:7" ht="18.75">
      <c r="A35" s="65"/>
      <c r="B35" s="19" t="s">
        <v>114</v>
      </c>
      <c r="C35" s="66"/>
      <c r="D35" s="66"/>
      <c r="E35" s="66"/>
      <c r="F35" s="66"/>
      <c r="G35" s="66"/>
    </row>
    <row r="36" spans="1:7">
      <c r="A36" s="23" t="s">
        <v>66</v>
      </c>
      <c r="B36" s="24" t="s">
        <v>67</v>
      </c>
      <c r="C36" s="23" t="s">
        <v>68</v>
      </c>
      <c r="D36" s="24" t="s">
        <v>69</v>
      </c>
      <c r="E36" s="23" t="s">
        <v>70</v>
      </c>
      <c r="F36" s="24" t="s">
        <v>71</v>
      </c>
      <c r="G36" s="23" t="s">
        <v>72</v>
      </c>
    </row>
    <row r="37" spans="1:7">
      <c r="A37" s="20"/>
      <c r="B37" s="20"/>
      <c r="C37" s="20"/>
      <c r="D37" s="20"/>
      <c r="E37" s="20"/>
      <c r="F37" s="20">
        <v>1</v>
      </c>
      <c r="G37" s="20">
        <v>2</v>
      </c>
    </row>
    <row r="38" spans="1:7">
      <c r="A38" s="29">
        <v>3</v>
      </c>
      <c r="B38" s="30">
        <v>4</v>
      </c>
      <c r="C38" s="29">
        <v>5</v>
      </c>
      <c r="D38" s="20">
        <v>6</v>
      </c>
      <c r="E38" s="20">
        <v>7</v>
      </c>
      <c r="F38" s="20">
        <v>8</v>
      </c>
      <c r="G38" s="20">
        <v>9</v>
      </c>
    </row>
    <row r="39" spans="1:7">
      <c r="A39" s="26">
        <v>10</v>
      </c>
      <c r="B39" s="20">
        <v>11</v>
      </c>
      <c r="C39" s="27">
        <v>12</v>
      </c>
      <c r="D39" s="20">
        <v>13</v>
      </c>
      <c r="E39" s="20">
        <v>14</v>
      </c>
      <c r="F39" s="28">
        <v>15</v>
      </c>
      <c r="G39" s="20">
        <v>16</v>
      </c>
    </row>
    <row r="40" spans="1:7">
      <c r="A40" s="20">
        <v>17</v>
      </c>
      <c r="B40" s="20">
        <v>18</v>
      </c>
      <c r="C40" s="20">
        <v>19</v>
      </c>
      <c r="D40" s="20">
        <v>20</v>
      </c>
      <c r="E40" s="20">
        <v>21</v>
      </c>
      <c r="F40" s="20">
        <v>22</v>
      </c>
      <c r="G40" s="20">
        <v>23</v>
      </c>
    </row>
    <row r="41" spans="1:7">
      <c r="A41" s="20">
        <v>24</v>
      </c>
      <c r="B41" s="20">
        <v>25</v>
      </c>
      <c r="C41" s="20">
        <v>26</v>
      </c>
      <c r="D41" s="20">
        <v>27</v>
      </c>
      <c r="E41" s="20">
        <v>28</v>
      </c>
      <c r="F41" s="20">
        <v>29</v>
      </c>
      <c r="G41" s="20">
        <v>30</v>
      </c>
    </row>
    <row r="42" spans="1:7">
      <c r="A42" s="65"/>
      <c r="B42" s="65"/>
      <c r="C42" s="66"/>
      <c r="D42" s="66"/>
      <c r="E42" s="66"/>
      <c r="F42" s="66"/>
      <c r="G42" s="66"/>
    </row>
    <row r="43" spans="1:7" ht="18.75">
      <c r="A43" s="65"/>
      <c r="B43" s="19" t="s">
        <v>115</v>
      </c>
      <c r="C43" s="66"/>
      <c r="D43" s="66"/>
      <c r="E43" s="66"/>
      <c r="F43" s="66"/>
      <c r="G43" s="66"/>
    </row>
    <row r="44" spans="1:7">
      <c r="A44" s="23" t="s">
        <v>66</v>
      </c>
      <c r="B44" s="24" t="s">
        <v>67</v>
      </c>
      <c r="C44" s="23" t="s">
        <v>68</v>
      </c>
      <c r="D44" s="24" t="s">
        <v>69</v>
      </c>
      <c r="E44" s="23" t="s">
        <v>70</v>
      </c>
      <c r="F44" s="24" t="s">
        <v>71</v>
      </c>
      <c r="G44" s="23" t="s">
        <v>72</v>
      </c>
    </row>
    <row r="45" spans="1:7">
      <c r="A45" s="20">
        <v>1</v>
      </c>
      <c r="B45" s="20">
        <v>2</v>
      </c>
      <c r="C45" s="20">
        <v>3</v>
      </c>
      <c r="D45" s="20">
        <v>4</v>
      </c>
      <c r="E45" s="20">
        <v>5</v>
      </c>
      <c r="F45" s="20">
        <v>6</v>
      </c>
      <c r="G45" s="20">
        <v>7</v>
      </c>
    </row>
    <row r="46" spans="1:7">
      <c r="A46" s="29">
        <v>8</v>
      </c>
      <c r="B46" s="29">
        <v>9</v>
      </c>
      <c r="C46" s="29">
        <v>10</v>
      </c>
      <c r="D46" s="29">
        <v>11</v>
      </c>
      <c r="E46" s="29">
        <v>12</v>
      </c>
      <c r="F46" s="29">
        <v>13</v>
      </c>
      <c r="G46" s="29">
        <v>14</v>
      </c>
    </row>
    <row r="47" spans="1:7">
      <c r="A47" s="26">
        <v>15</v>
      </c>
      <c r="B47" s="26">
        <v>16</v>
      </c>
      <c r="C47" s="26">
        <v>17</v>
      </c>
      <c r="D47" s="26">
        <v>18</v>
      </c>
      <c r="E47" s="26">
        <v>19</v>
      </c>
      <c r="F47" s="26">
        <v>20</v>
      </c>
      <c r="G47" s="26">
        <v>21</v>
      </c>
    </row>
    <row r="48" spans="1:7">
      <c r="A48" s="20">
        <v>22</v>
      </c>
      <c r="B48" s="20">
        <v>23</v>
      </c>
      <c r="C48" s="20">
        <v>24</v>
      </c>
      <c r="D48" s="20">
        <v>25</v>
      </c>
      <c r="E48" s="20">
        <v>26</v>
      </c>
      <c r="F48" s="20">
        <v>27</v>
      </c>
      <c r="G48" s="20">
        <v>28</v>
      </c>
    </row>
    <row r="49" spans="1:7">
      <c r="A49" s="20">
        <v>29</v>
      </c>
      <c r="B49" s="20">
        <v>30</v>
      </c>
      <c r="C49" s="20">
        <v>31</v>
      </c>
      <c r="D49" s="20"/>
      <c r="E49" s="20"/>
      <c r="F49" s="20"/>
      <c r="G49" s="20"/>
    </row>
    <row r="50" spans="1:7">
      <c r="A50" s="65"/>
      <c r="B50" s="65"/>
      <c r="C50" s="66"/>
      <c r="D50" s="66"/>
      <c r="E50" s="66"/>
      <c r="F50" s="66"/>
      <c r="G50" s="66"/>
    </row>
    <row r="51" spans="1:7" ht="18.75">
      <c r="A51" s="65"/>
      <c r="B51" s="19" t="s">
        <v>116</v>
      </c>
      <c r="C51" s="66"/>
      <c r="D51" s="66"/>
      <c r="E51" s="66"/>
      <c r="F51" s="66"/>
      <c r="G51" s="66"/>
    </row>
    <row r="52" spans="1:7">
      <c r="A52" s="23" t="s">
        <v>66</v>
      </c>
      <c r="B52" s="24" t="s">
        <v>67</v>
      </c>
      <c r="C52" s="23" t="s">
        <v>68</v>
      </c>
      <c r="D52" s="24" t="s">
        <v>69</v>
      </c>
      <c r="E52" s="23" t="s">
        <v>70</v>
      </c>
      <c r="F52" s="24" t="s">
        <v>71</v>
      </c>
      <c r="G52" s="23" t="s">
        <v>72</v>
      </c>
    </row>
    <row r="53" spans="1:7">
      <c r="A53" s="20"/>
      <c r="B53" s="20"/>
      <c r="C53" s="20"/>
      <c r="D53" s="20">
        <v>1</v>
      </c>
      <c r="E53" s="20">
        <v>2</v>
      </c>
      <c r="F53" s="20">
        <v>3</v>
      </c>
      <c r="G53" s="20">
        <v>4</v>
      </c>
    </row>
    <row r="54" spans="1:7">
      <c r="A54" s="29">
        <v>5</v>
      </c>
      <c r="B54" s="29">
        <v>6</v>
      </c>
      <c r="C54" s="29">
        <v>7</v>
      </c>
      <c r="D54" s="29">
        <v>8</v>
      </c>
      <c r="E54" s="29">
        <v>9</v>
      </c>
      <c r="F54" s="29">
        <v>10</v>
      </c>
      <c r="G54" s="29">
        <v>11</v>
      </c>
    </row>
    <row r="55" spans="1:7">
      <c r="A55" s="26">
        <v>12</v>
      </c>
      <c r="B55" s="26">
        <v>13</v>
      </c>
      <c r="C55" s="26">
        <v>14</v>
      </c>
      <c r="D55" s="26">
        <v>15</v>
      </c>
      <c r="E55" s="26">
        <v>16</v>
      </c>
      <c r="F55" s="26">
        <v>17</v>
      </c>
      <c r="G55" s="26">
        <v>18</v>
      </c>
    </row>
    <row r="56" spans="1:7">
      <c r="A56" s="20">
        <v>19</v>
      </c>
      <c r="B56" s="20">
        <v>20</v>
      </c>
      <c r="C56" s="20">
        <v>21</v>
      </c>
      <c r="D56" s="20">
        <v>22</v>
      </c>
      <c r="E56" s="20">
        <v>23</v>
      </c>
      <c r="F56" s="20">
        <v>24</v>
      </c>
      <c r="G56" s="20">
        <v>25</v>
      </c>
    </row>
    <row r="57" spans="1:7">
      <c r="A57" s="20">
        <v>26</v>
      </c>
      <c r="B57" s="20">
        <v>27</v>
      </c>
      <c r="C57" s="20">
        <v>28</v>
      </c>
      <c r="D57" s="20">
        <v>29</v>
      </c>
      <c r="E57" s="20">
        <v>30</v>
      </c>
      <c r="F57" s="20">
        <v>31</v>
      </c>
      <c r="G57" s="20"/>
    </row>
    <row r="58" spans="1:7">
      <c r="A58" s="65"/>
      <c r="B58" s="65"/>
      <c r="C58" s="66"/>
      <c r="D58" s="66"/>
      <c r="E58" s="66"/>
      <c r="F58" s="66"/>
      <c r="G58" s="66"/>
    </row>
    <row r="59" spans="1:7" ht="18.75">
      <c r="A59" s="65"/>
      <c r="B59" s="19" t="s">
        <v>117</v>
      </c>
      <c r="C59" s="66"/>
      <c r="D59" s="66"/>
      <c r="E59" s="66"/>
      <c r="F59" s="66"/>
      <c r="G59" s="66"/>
    </row>
    <row r="60" spans="1:7">
      <c r="A60" s="23" t="s">
        <v>66</v>
      </c>
      <c r="B60" s="24" t="s">
        <v>67</v>
      </c>
      <c r="C60" s="23" t="s">
        <v>68</v>
      </c>
      <c r="D60" s="24" t="s">
        <v>69</v>
      </c>
      <c r="E60" s="23" t="s">
        <v>70</v>
      </c>
      <c r="F60" s="24" t="s">
        <v>71</v>
      </c>
      <c r="G60" s="23" t="s">
        <v>72</v>
      </c>
    </row>
    <row r="61" spans="1:7">
      <c r="A61" s="20"/>
      <c r="B61" s="20"/>
      <c r="C61" s="20"/>
      <c r="D61" s="20"/>
      <c r="E61" s="20"/>
      <c r="F61" s="20"/>
      <c r="G61" s="20">
        <v>1</v>
      </c>
    </row>
    <row r="62" spans="1:7">
      <c r="A62" s="29">
        <v>2</v>
      </c>
      <c r="B62" s="29">
        <v>3</v>
      </c>
      <c r="C62" s="29">
        <v>4</v>
      </c>
      <c r="D62" s="29">
        <v>5</v>
      </c>
      <c r="E62" s="29">
        <v>6</v>
      </c>
      <c r="F62" s="29">
        <v>7</v>
      </c>
      <c r="G62" s="29">
        <v>8</v>
      </c>
    </row>
    <row r="63" spans="1:7">
      <c r="A63" s="26">
        <v>9</v>
      </c>
      <c r="B63" s="26">
        <v>10</v>
      </c>
      <c r="C63" s="26">
        <v>11</v>
      </c>
      <c r="D63" s="26">
        <v>12</v>
      </c>
      <c r="E63" s="26">
        <v>13</v>
      </c>
      <c r="F63" s="26">
        <v>14</v>
      </c>
      <c r="G63" s="26">
        <v>15</v>
      </c>
    </row>
    <row r="64" spans="1:7">
      <c r="A64" s="20">
        <v>16</v>
      </c>
      <c r="B64" s="20">
        <v>17</v>
      </c>
      <c r="C64" s="20">
        <v>18</v>
      </c>
      <c r="D64" s="20">
        <v>19</v>
      </c>
      <c r="E64" s="20">
        <v>20</v>
      </c>
      <c r="F64" s="20">
        <v>21</v>
      </c>
      <c r="G64" s="20">
        <v>22</v>
      </c>
    </row>
    <row r="65" spans="1:7">
      <c r="A65" s="20">
        <v>23</v>
      </c>
      <c r="B65" s="20">
        <v>24</v>
      </c>
      <c r="C65" s="20">
        <v>25</v>
      </c>
      <c r="D65" s="20">
        <v>26</v>
      </c>
      <c r="E65" s="20">
        <v>27</v>
      </c>
      <c r="F65" s="20">
        <v>28</v>
      </c>
      <c r="G65" s="20">
        <v>29</v>
      </c>
    </row>
    <row r="66" spans="1:7">
      <c r="A66" s="20">
        <v>30</v>
      </c>
      <c r="B66" s="25"/>
      <c r="C66" s="132"/>
      <c r="D66" s="132"/>
      <c r="E66" s="132"/>
      <c r="F66" s="132"/>
      <c r="G66" s="132"/>
    </row>
    <row r="67" spans="1:7">
      <c r="A67" s="65"/>
      <c r="B67" s="65"/>
      <c r="C67" s="66"/>
      <c r="D67" s="66"/>
      <c r="E67" s="66"/>
      <c r="F67" s="66"/>
      <c r="G67" s="66"/>
    </row>
    <row r="68" spans="1:7" ht="18.75">
      <c r="A68" s="65"/>
      <c r="B68" s="19" t="s">
        <v>64</v>
      </c>
      <c r="C68" s="66"/>
      <c r="D68" s="66"/>
      <c r="E68" s="66"/>
      <c r="F68" s="66"/>
      <c r="G68" s="66"/>
    </row>
    <row r="69" spans="1:7">
      <c r="A69" s="23" t="s">
        <v>66</v>
      </c>
      <c r="B69" s="24" t="s">
        <v>67</v>
      </c>
      <c r="C69" s="23" t="s">
        <v>68</v>
      </c>
      <c r="D69" s="24" t="s">
        <v>69</v>
      </c>
      <c r="E69" s="23" t="s">
        <v>70</v>
      </c>
      <c r="F69" s="24" t="s">
        <v>71</v>
      </c>
      <c r="G69" s="23" t="s">
        <v>72</v>
      </c>
    </row>
    <row r="70" spans="1:7">
      <c r="A70" s="20"/>
      <c r="B70" s="20">
        <v>1</v>
      </c>
      <c r="C70" s="20">
        <v>2</v>
      </c>
      <c r="D70" s="20">
        <v>3</v>
      </c>
      <c r="E70" s="20">
        <v>4</v>
      </c>
      <c r="F70" s="20">
        <v>5</v>
      </c>
      <c r="G70" s="20">
        <v>6</v>
      </c>
    </row>
    <row r="71" spans="1:7">
      <c r="A71" s="29">
        <v>7</v>
      </c>
      <c r="B71" s="29">
        <v>8</v>
      </c>
      <c r="C71" s="29">
        <v>9</v>
      </c>
      <c r="D71" s="29">
        <v>10</v>
      </c>
      <c r="E71" s="29">
        <v>11</v>
      </c>
      <c r="F71" s="29">
        <v>12</v>
      </c>
      <c r="G71" s="29">
        <v>13</v>
      </c>
    </row>
    <row r="72" spans="1:7">
      <c r="A72" s="26">
        <v>14</v>
      </c>
      <c r="B72" s="26">
        <v>15</v>
      </c>
      <c r="C72" s="26">
        <v>16</v>
      </c>
      <c r="D72" s="26">
        <v>17</v>
      </c>
      <c r="E72" s="26">
        <v>18</v>
      </c>
      <c r="F72" s="26">
        <v>19</v>
      </c>
      <c r="G72" s="26">
        <v>20</v>
      </c>
    </row>
    <row r="73" spans="1:7">
      <c r="A73" s="20">
        <v>21</v>
      </c>
      <c r="B73" s="20">
        <v>22</v>
      </c>
      <c r="C73" s="20">
        <v>23</v>
      </c>
      <c r="D73" s="20">
        <v>24</v>
      </c>
      <c r="E73" s="20">
        <v>25</v>
      </c>
      <c r="F73" s="20">
        <v>26</v>
      </c>
      <c r="G73" s="20">
        <v>27</v>
      </c>
    </row>
    <row r="74" spans="1:7">
      <c r="A74" s="20">
        <v>28</v>
      </c>
      <c r="B74" s="20">
        <v>29</v>
      </c>
      <c r="C74" s="20">
        <v>30</v>
      </c>
      <c r="D74" s="20">
        <v>31</v>
      </c>
      <c r="E74" s="20"/>
      <c r="F74" s="20"/>
      <c r="G74" s="20"/>
    </row>
    <row r="75" spans="1:7">
      <c r="A75" s="65"/>
      <c r="B75" s="65"/>
      <c r="C75" s="66"/>
      <c r="D75" s="66"/>
      <c r="E75" s="66"/>
      <c r="F75" s="66"/>
      <c r="G75" s="66"/>
    </row>
    <row r="76" spans="1:7" ht="18.75">
      <c r="A76" s="65"/>
      <c r="B76" s="19" t="s">
        <v>65</v>
      </c>
      <c r="C76" s="66"/>
      <c r="D76" s="66"/>
      <c r="E76" s="66"/>
      <c r="F76" s="66"/>
      <c r="G76" s="66"/>
    </row>
    <row r="77" spans="1:7">
      <c r="A77" s="23" t="s">
        <v>66</v>
      </c>
      <c r="B77" s="24" t="s">
        <v>67</v>
      </c>
      <c r="C77" s="23" t="s">
        <v>68</v>
      </c>
      <c r="D77" s="24" t="s">
        <v>69</v>
      </c>
      <c r="E77" s="23" t="s">
        <v>70</v>
      </c>
      <c r="F77" s="24" t="s">
        <v>71</v>
      </c>
      <c r="G77" s="23" t="s">
        <v>72</v>
      </c>
    </row>
    <row r="78" spans="1:7">
      <c r="A78" s="20"/>
      <c r="B78" s="20"/>
      <c r="C78" s="20"/>
      <c r="D78" s="20"/>
      <c r="E78" s="20">
        <v>1</v>
      </c>
      <c r="F78" s="20">
        <v>2</v>
      </c>
      <c r="G78" s="20">
        <v>3</v>
      </c>
    </row>
    <row r="79" spans="1:7">
      <c r="A79" s="29">
        <v>4</v>
      </c>
      <c r="B79" s="29">
        <v>5</v>
      </c>
      <c r="C79" s="29">
        <v>6</v>
      </c>
      <c r="D79" s="29">
        <v>7</v>
      </c>
      <c r="E79" s="29">
        <v>8</v>
      </c>
      <c r="F79" s="29">
        <v>9</v>
      </c>
      <c r="G79" s="29">
        <v>10</v>
      </c>
    </row>
    <row r="80" spans="1:7">
      <c r="A80" s="26">
        <v>11</v>
      </c>
      <c r="B80" s="20">
        <v>12</v>
      </c>
      <c r="C80" s="26">
        <v>13</v>
      </c>
      <c r="D80" s="20">
        <v>14</v>
      </c>
      <c r="E80" s="26">
        <v>15</v>
      </c>
      <c r="F80" s="20">
        <v>16</v>
      </c>
      <c r="G80" s="26">
        <v>17</v>
      </c>
    </row>
    <row r="81" spans="1:14">
      <c r="A81" s="20">
        <v>18</v>
      </c>
      <c r="B81" s="20">
        <v>19</v>
      </c>
      <c r="C81" s="20">
        <v>20</v>
      </c>
      <c r="D81" s="20">
        <v>21</v>
      </c>
      <c r="E81" s="20">
        <v>22</v>
      </c>
      <c r="F81" s="20">
        <v>23</v>
      </c>
      <c r="G81" s="20">
        <v>24</v>
      </c>
    </row>
    <row r="82" spans="1:14">
      <c r="A82" s="20">
        <v>25</v>
      </c>
      <c r="B82" s="20">
        <v>26</v>
      </c>
      <c r="C82" s="20">
        <v>27</v>
      </c>
      <c r="D82" s="20">
        <v>28</v>
      </c>
      <c r="E82" s="20">
        <v>29</v>
      </c>
      <c r="F82" s="20">
        <v>30</v>
      </c>
      <c r="G82" s="20"/>
    </row>
    <row r="83" spans="1:14">
      <c r="A83" s="65"/>
      <c r="B83" s="65"/>
      <c r="C83" s="66"/>
      <c r="D83" s="66"/>
      <c r="E83" s="66"/>
      <c r="F83" s="66"/>
      <c r="G83" s="66"/>
    </row>
    <row r="84" spans="1:14" ht="18.75">
      <c r="A84" s="65"/>
      <c r="B84" s="19" t="s">
        <v>118</v>
      </c>
      <c r="C84" s="66"/>
      <c r="D84" s="66"/>
      <c r="E84" s="66"/>
      <c r="F84" s="66"/>
      <c r="G84" s="66"/>
    </row>
    <row r="85" spans="1:14">
      <c r="A85" s="23" t="s">
        <v>66</v>
      </c>
      <c r="B85" s="24" t="s">
        <v>67</v>
      </c>
      <c r="C85" s="23" t="s">
        <v>68</v>
      </c>
      <c r="D85" s="24" t="s">
        <v>69</v>
      </c>
      <c r="E85" s="23" t="s">
        <v>70</v>
      </c>
      <c r="F85" s="24" t="s">
        <v>71</v>
      </c>
      <c r="G85" s="23" t="s">
        <v>72</v>
      </c>
    </row>
    <row r="86" spans="1:14">
      <c r="A86" s="20"/>
      <c r="B86" s="20"/>
      <c r="C86" s="20"/>
      <c r="D86" s="20"/>
      <c r="E86" s="20"/>
      <c r="F86" s="20"/>
      <c r="G86" s="20">
        <v>1</v>
      </c>
    </row>
    <row r="87" spans="1:14">
      <c r="A87" s="29">
        <v>2</v>
      </c>
      <c r="B87" s="29">
        <v>3</v>
      </c>
      <c r="C87" s="29">
        <v>4</v>
      </c>
      <c r="D87" s="29">
        <v>5</v>
      </c>
      <c r="E87" s="29">
        <v>6</v>
      </c>
      <c r="F87" s="29">
        <v>7</v>
      </c>
      <c r="G87" s="29">
        <v>8</v>
      </c>
    </row>
    <row r="88" spans="1:14">
      <c r="A88" s="26">
        <v>9</v>
      </c>
      <c r="B88" s="26">
        <v>10</v>
      </c>
      <c r="C88" s="26">
        <v>11</v>
      </c>
      <c r="D88" s="26">
        <v>12</v>
      </c>
      <c r="E88" s="26">
        <v>13</v>
      </c>
      <c r="F88" s="26">
        <v>14</v>
      </c>
      <c r="G88" s="26">
        <v>15</v>
      </c>
    </row>
    <row r="89" spans="1:14">
      <c r="A89" s="20">
        <v>16</v>
      </c>
      <c r="B89" s="20">
        <v>17</v>
      </c>
      <c r="C89" s="20">
        <v>18</v>
      </c>
      <c r="D89" s="20">
        <v>19</v>
      </c>
      <c r="E89" s="20">
        <v>20</v>
      </c>
      <c r="F89" s="20">
        <v>21</v>
      </c>
      <c r="G89" s="20">
        <v>22</v>
      </c>
    </row>
    <row r="90" spans="1:14">
      <c r="A90" s="20">
        <v>23</v>
      </c>
      <c r="B90" s="20">
        <v>24</v>
      </c>
      <c r="C90" s="20">
        <v>25</v>
      </c>
      <c r="D90" s="20">
        <v>26</v>
      </c>
      <c r="E90" s="20">
        <v>27</v>
      </c>
      <c r="F90" s="20">
        <v>28</v>
      </c>
      <c r="G90" s="20">
        <v>29</v>
      </c>
    </row>
    <row r="91" spans="1:14">
      <c r="A91" s="20">
        <v>30</v>
      </c>
      <c r="B91" s="25">
        <v>31</v>
      </c>
      <c r="C91" s="132"/>
      <c r="D91" s="132"/>
      <c r="E91" s="132"/>
      <c r="F91" s="132"/>
      <c r="G91" s="132"/>
    </row>
    <row r="92" spans="1:14">
      <c r="A92" s="65"/>
      <c r="B92" s="65"/>
      <c r="C92" s="66"/>
      <c r="D92" s="66"/>
      <c r="E92" s="66"/>
      <c r="F92" s="66"/>
      <c r="G92" s="66"/>
    </row>
    <row r="93" spans="1:14">
      <c r="A93" s="17"/>
      <c r="B93" s="17"/>
      <c r="C93" s="131"/>
      <c r="D93" s="131"/>
      <c r="E93" s="131"/>
      <c r="F93" s="131"/>
      <c r="G93" s="131"/>
      <c r="H93" s="34" t="s">
        <v>77</v>
      </c>
      <c r="I93" s="34"/>
      <c r="J93" s="34"/>
      <c r="K93" s="34"/>
      <c r="L93" s="34"/>
      <c r="M93" s="34"/>
      <c r="N93" s="34"/>
    </row>
    <row r="94" spans="1:14">
      <c r="H94" s="34" t="s">
        <v>76</v>
      </c>
      <c r="I94" s="34"/>
      <c r="J94" s="34"/>
      <c r="K94" s="34"/>
      <c r="L94" s="34"/>
      <c r="M94" s="34"/>
      <c r="N94" s="34"/>
    </row>
    <row r="95" spans="1:14">
      <c r="A95" s="129" t="s">
        <v>82</v>
      </c>
      <c r="B95" s="129"/>
      <c r="C95" s="129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</row>
    <row r="96" spans="1:14">
      <c r="A96" s="129"/>
      <c r="B96" s="129"/>
      <c r="C96" s="129"/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</row>
  </sheetData>
  <mergeCells count="11">
    <mergeCell ref="A95:N96"/>
    <mergeCell ref="I3:N4"/>
    <mergeCell ref="H2:N2"/>
    <mergeCell ref="C2:G2"/>
    <mergeCell ref="C10:G10"/>
    <mergeCell ref="C93:G93"/>
    <mergeCell ref="C66:G66"/>
    <mergeCell ref="C91:G91"/>
    <mergeCell ref="H9:N10"/>
    <mergeCell ref="H14:N15"/>
    <mergeCell ref="H17:N17"/>
  </mergeCells>
  <conditionalFormatting sqref="E9:G9 A5:D5">
    <cfRule type="expression" dxfId="15" priority="21">
      <formula>MONTH(A5)&lt;&gt;CaléndárioMês4Opção</formula>
    </cfRule>
  </conditionalFormatting>
  <conditionalFormatting sqref="A13:G17 A34:B34">
    <cfRule type="expression" dxfId="14" priority="20">
      <formula>MONTH(A13)&lt;&gt;CaléndárioMês5Opção</formula>
    </cfRule>
  </conditionalFormatting>
  <conditionalFormatting sqref="A21:G25">
    <cfRule type="expression" dxfId="13" priority="17">
      <formula>MONTH(A21)&lt;&gt;CaléndárioMês5Opção</formula>
    </cfRule>
  </conditionalFormatting>
  <conditionalFormatting sqref="A42:B42 A35 A50:B50 A58:B58 A67:B67 A75:B75 A83:B83 A92:B92 A43 A51 A59 A68 A76 A84">
    <cfRule type="expression" dxfId="12" priority="16">
      <formula>MONTH(A35)&lt;&gt;CaléndárioMês5Opção</formula>
    </cfRule>
  </conditionalFormatting>
  <conditionalFormatting sqref="A37:G41">
    <cfRule type="expression" dxfId="11" priority="15">
      <formula>MONTH(A37)&lt;&gt;CaléndárioMês5Opção</formula>
    </cfRule>
  </conditionalFormatting>
  <conditionalFormatting sqref="A53:G57">
    <cfRule type="expression" dxfId="10" priority="13">
      <formula>MONTH(A53)&lt;&gt;CaléndárioMês5Opção</formula>
    </cfRule>
  </conditionalFormatting>
  <conditionalFormatting sqref="A66:B66 A61:G65">
    <cfRule type="expression" dxfId="9" priority="12">
      <formula>MONTH(A61)&lt;&gt;CaléndárioMês5Opção</formula>
    </cfRule>
  </conditionalFormatting>
  <conditionalFormatting sqref="A70:G74">
    <cfRule type="expression" dxfId="8" priority="11">
      <formula>MONTH(A70)&lt;&gt;CaléndárioMês5Opção</formula>
    </cfRule>
  </conditionalFormatting>
  <conditionalFormatting sqref="A6:G6">
    <cfRule type="expression" dxfId="7" priority="8">
      <formula>MONTH(A6)&lt;&gt;CaléndárioMês3Opção</formula>
    </cfRule>
  </conditionalFormatting>
  <conditionalFormatting sqref="E5:G5">
    <cfRule type="expression" dxfId="6" priority="7">
      <formula>MONTH(E5)&lt;&gt;CaléndárioMês3Opção</formula>
    </cfRule>
  </conditionalFormatting>
  <conditionalFormatting sqref="A7:G8">
    <cfRule type="expression" dxfId="5" priority="6">
      <formula>MONTH(A7)&lt;&gt;CaléndárioMês3Opção</formula>
    </cfRule>
  </conditionalFormatting>
  <conditionalFormatting sqref="A9:D9">
    <cfRule type="expression" dxfId="4" priority="5">
      <formula>MONTH(A9)&lt;&gt;CaléndárioMês3Opção</formula>
    </cfRule>
  </conditionalFormatting>
  <conditionalFormatting sqref="A29:G33">
    <cfRule type="expression" dxfId="3" priority="4">
      <formula>MONTH(A29)&lt;&gt;CaléndárioMês3Opção</formula>
    </cfRule>
  </conditionalFormatting>
  <conditionalFormatting sqref="A45:G49">
    <cfRule type="expression" dxfId="2" priority="3">
      <formula>MONTH(A45)&lt;&gt;CaléndárioMês5Opção</formula>
    </cfRule>
  </conditionalFormatting>
  <conditionalFormatting sqref="A78:G82">
    <cfRule type="expression" dxfId="1" priority="2">
      <formula>MONTH(A78)&lt;&gt;CaléndárioMês5Opção</formula>
    </cfRule>
  </conditionalFormatting>
  <conditionalFormatting sqref="A91:B91 A86:G90">
    <cfRule type="expression" dxfId="0" priority="1">
      <formula>MONTH(A86)&lt;&gt;CaléndárioMês5Opção</formula>
    </cfRule>
  </conditionalFormatting>
  <dataValidations count="2">
    <dataValidation allowBlank="1" showInputMessage="1" showErrorMessage="1" prompt="Insira o ano para este calendário" sqref="A3 A11" xr:uid="{E3A00F2D-E148-4338-9205-1FC5597FC0F9}"/>
    <dataValidation type="list" allowBlank="1" showInputMessage="1" showErrorMessage="1" error="Selecione um mês nas entradas na lista. Selecione Cancelar e Alt+Seta para baixo para selecionar na lista suspensa" prompt="Selecione o mês de início do calendário na lista suspensa. Pressione Alt+Seta para baixo para abrir a lista suspensa e pressione Enter para selecionar um dos itens." sqref="B11 B3 B19 B27 B35 B43 B51 B59 B68 B76 B84" xr:uid="{5A2A4E8B-811E-470F-9F8F-50DC69D0403B}">
      <formula1>"janeiro, fevereiro, março, abril, maio, junho, julho, agosto, setembro, outubro, novembro, dezembro"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Formulário 2019</vt:lpstr>
      <vt:lpstr>Calendário 2019</vt:lpstr>
      <vt:lpstr>Atividades</vt:lpstr>
      <vt:lpstr>Tabela de Atividades</vt:lpstr>
      <vt:lpstr>AJUDA</vt:lpstr>
      <vt:lpstr>Cronograma 2019</vt:lpstr>
      <vt:lpstr>'Cronograma 2019'!Area_de_impressao</vt:lpstr>
      <vt:lpstr>CalendárioAno2</vt:lpstr>
      <vt:lpstr>CalendárioAno3</vt:lpstr>
      <vt:lpstr>CalendárioAno4</vt:lpstr>
      <vt:lpstr>CalendárioAno5</vt:lpstr>
      <vt:lpstr>CaléndárioMês2</vt:lpstr>
      <vt:lpstr>'Formulário 2019'!Titulos_de_impressao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</dc:creator>
  <cp:lastModifiedBy>Hellen Carmo de Oliveira Matos</cp:lastModifiedBy>
  <cp:lastPrinted>2019-05-06T02:01:26Z</cp:lastPrinted>
  <dcterms:created xsi:type="dcterms:W3CDTF">2017-10-05T02:34:45Z</dcterms:created>
  <dcterms:modified xsi:type="dcterms:W3CDTF">2019-05-06T06:05:53Z</dcterms:modified>
</cp:coreProperties>
</file>